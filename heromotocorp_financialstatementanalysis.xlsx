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EROMOTOCORP FS&amp;A PROJECT\"/>
    </mc:Choice>
  </mc:AlternateContent>
  <xr:revisionPtr revIDLastSave="0" documentId="13_ncr:1_{EFF044D4-149A-451C-BBF9-DEF96A6BB786}" xr6:coauthVersionLast="43" xr6:coauthVersionMax="43" xr10:uidLastSave="{00000000-0000-0000-0000-000000000000}"/>
  <bookViews>
    <workbookView xWindow="-120" yWindow="-120" windowWidth="29040" windowHeight="15720" activeTab="4" xr2:uid="{73099278-AA09-4927-80A7-C0D4E40E335E}"/>
  </bookViews>
  <sheets>
    <sheet name="INCOME STATEMENT-TREND ANALYSIS" sheetId="5" r:id="rId1"/>
    <sheet name="income statement" sheetId="1" r:id="rId2"/>
    <sheet name="balance sheet trend analysis" sheetId="4" r:id="rId3"/>
    <sheet name="balance sheet" sheetId="2" r:id="rId4"/>
    <sheet name="RATIO ANALYSIS" sheetId="7" r:id="rId5"/>
    <sheet name="CASHFLOW STATEMENT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2" i="1" l="1"/>
  <c r="H25" i="7" l="1"/>
  <c r="H21" i="7"/>
  <c r="H18" i="7"/>
  <c r="H15" i="7"/>
  <c r="H26" i="7" s="1"/>
  <c r="H11" i="7"/>
  <c r="H10" i="7"/>
  <c r="H12" i="7" s="1"/>
  <c r="H6" i="7"/>
  <c r="H19" i="7" s="1"/>
  <c r="H56" i="4"/>
  <c r="H55" i="4"/>
  <c r="H49" i="4"/>
  <c r="H50" i="4"/>
  <c r="H51" i="4"/>
  <c r="H52" i="4"/>
  <c r="H53" i="4"/>
  <c r="H54" i="4"/>
  <c r="H48" i="4"/>
  <c r="H45" i="4"/>
  <c r="H38" i="4"/>
  <c r="H39" i="4"/>
  <c r="H40" i="4"/>
  <c r="H41" i="4"/>
  <c r="H43" i="4"/>
  <c r="H44" i="4"/>
  <c r="H37" i="4"/>
  <c r="H32" i="4"/>
  <c r="H31" i="4"/>
  <c r="G23" i="4"/>
  <c r="H23" i="4"/>
  <c r="G24" i="4"/>
  <c r="H24" i="4"/>
  <c r="G25" i="4"/>
  <c r="H25" i="4"/>
  <c r="G26" i="4"/>
  <c r="H26" i="4"/>
  <c r="G27" i="4"/>
  <c r="H27" i="4"/>
  <c r="G28" i="4"/>
  <c r="H28" i="4"/>
  <c r="G29" i="4"/>
  <c r="H29" i="4"/>
  <c r="G30" i="4"/>
  <c r="H30" i="4"/>
  <c r="H22" i="4"/>
  <c r="H19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G17" i="4"/>
  <c r="H17" i="4"/>
  <c r="G18" i="4"/>
  <c r="H18" i="4"/>
  <c r="H8" i="4"/>
  <c r="F22" i="5"/>
  <c r="H22" i="5"/>
  <c r="H21" i="5"/>
  <c r="H20" i="5"/>
  <c r="H17" i="5"/>
  <c r="H16" i="5"/>
  <c r="G16" i="5"/>
  <c r="G17" i="5"/>
  <c r="G19" i="5"/>
  <c r="H15" i="5"/>
  <c r="G15" i="5"/>
  <c r="H14" i="5"/>
  <c r="H13" i="5"/>
  <c r="H8" i="5"/>
  <c r="H9" i="5"/>
  <c r="H10" i="5"/>
  <c r="H11" i="5"/>
  <c r="H5" i="5"/>
  <c r="H12" i="5" s="1"/>
  <c r="H7" i="5"/>
  <c r="H56" i="2"/>
  <c r="H55" i="2"/>
  <c r="H45" i="2"/>
  <c r="H32" i="2"/>
  <c r="H31" i="2"/>
  <c r="H19" i="2"/>
  <c r="H20" i="1"/>
  <c r="H22" i="1" s="1"/>
  <c r="H14" i="1"/>
  <c r="D12" i="1"/>
  <c r="E12" i="1"/>
  <c r="F12" i="1"/>
  <c r="G12" i="1"/>
  <c r="H12" i="1"/>
  <c r="H20" i="7" l="1"/>
  <c r="H22" i="7"/>
  <c r="H16" i="7"/>
  <c r="D25" i="7"/>
  <c r="E25" i="7"/>
  <c r="F25" i="7"/>
  <c r="G25" i="7"/>
  <c r="C18" i="7"/>
  <c r="D15" i="7"/>
  <c r="D26" i="7" s="1"/>
  <c r="E15" i="7"/>
  <c r="E26" i="7" s="1"/>
  <c r="F15" i="7"/>
  <c r="G15" i="7"/>
  <c r="C15" i="7"/>
  <c r="C55" i="2"/>
  <c r="C11" i="7" s="1"/>
  <c r="G6" i="7"/>
  <c r="H7" i="7" s="1"/>
  <c r="F6" i="7"/>
  <c r="E6" i="7"/>
  <c r="D6" i="7"/>
  <c r="C6" i="7"/>
  <c r="C19" i="7" s="1"/>
  <c r="F21" i="5"/>
  <c r="C15" i="5"/>
  <c r="D15" i="5"/>
  <c r="E15" i="5"/>
  <c r="F15" i="5"/>
  <c r="C16" i="5"/>
  <c r="D16" i="5"/>
  <c r="E16" i="5"/>
  <c r="F16" i="5"/>
  <c r="C17" i="5"/>
  <c r="D17" i="5"/>
  <c r="E17" i="5"/>
  <c r="F17" i="5"/>
  <c r="C18" i="5"/>
  <c r="D18" i="5"/>
  <c r="E18" i="5"/>
  <c r="F18" i="5"/>
  <c r="C19" i="5"/>
  <c r="D19" i="5"/>
  <c r="E19" i="5"/>
  <c r="F19" i="5"/>
  <c r="C21" i="5"/>
  <c r="D21" i="5"/>
  <c r="E21" i="5"/>
  <c r="G21" i="5"/>
  <c r="F13" i="5"/>
  <c r="D13" i="5"/>
  <c r="E13" i="5"/>
  <c r="G13" i="5"/>
  <c r="C13" i="5"/>
  <c r="C9" i="5"/>
  <c r="D9" i="5"/>
  <c r="E9" i="5"/>
  <c r="F9" i="5"/>
  <c r="G9" i="5"/>
  <c r="C10" i="5"/>
  <c r="D10" i="5"/>
  <c r="E10" i="5"/>
  <c r="F10" i="5"/>
  <c r="G10" i="5"/>
  <c r="C11" i="5"/>
  <c r="D11" i="5"/>
  <c r="E11" i="5"/>
  <c r="F11" i="5"/>
  <c r="G11" i="5"/>
  <c r="D8" i="5"/>
  <c r="E8" i="5"/>
  <c r="F8" i="5"/>
  <c r="G8" i="5"/>
  <c r="C8" i="5"/>
  <c r="D7" i="5"/>
  <c r="E7" i="5"/>
  <c r="F7" i="5"/>
  <c r="G7" i="5"/>
  <c r="C7" i="5"/>
  <c r="D5" i="5"/>
  <c r="D12" i="5" s="1"/>
  <c r="E5" i="5"/>
  <c r="F5" i="5"/>
  <c r="G5" i="5"/>
  <c r="C5" i="5"/>
  <c r="D29" i="4"/>
  <c r="E29" i="4"/>
  <c r="D8" i="4"/>
  <c r="D7" i="3"/>
  <c r="E7" i="3"/>
  <c r="C7" i="3"/>
  <c r="F7" i="3"/>
  <c r="G7" i="3"/>
  <c r="D14" i="1"/>
  <c r="D14" i="5" s="1"/>
  <c r="E14" i="1"/>
  <c r="E14" i="5" s="1"/>
  <c r="C14" i="1"/>
  <c r="C14" i="5" s="1"/>
  <c r="E55" i="2"/>
  <c r="E11" i="7" s="1"/>
  <c r="D55" i="2"/>
  <c r="D11" i="7" s="1"/>
  <c r="D45" i="2"/>
  <c r="E45" i="2"/>
  <c r="C45" i="2"/>
  <c r="D31" i="2"/>
  <c r="D10" i="7" s="1"/>
  <c r="E31" i="2"/>
  <c r="E10" i="7" s="1"/>
  <c r="C31" i="2"/>
  <c r="C31" i="4" s="1"/>
  <c r="D19" i="2"/>
  <c r="D32" i="2" s="1"/>
  <c r="D11" i="4" s="1"/>
  <c r="E19" i="2"/>
  <c r="E32" i="2" s="1"/>
  <c r="E32" i="4" s="1"/>
  <c r="C19" i="2"/>
  <c r="C32" i="2" s="1"/>
  <c r="C13" i="4" s="1"/>
  <c r="G12" i="5" l="1"/>
  <c r="D21" i="7"/>
  <c r="D27" i="4"/>
  <c r="D23" i="4"/>
  <c r="C10" i="4"/>
  <c r="C10" i="7"/>
  <c r="C12" i="7" s="1"/>
  <c r="C56" i="2"/>
  <c r="C51" i="4" s="1"/>
  <c r="C9" i="4"/>
  <c r="D32" i="4"/>
  <c r="E21" i="7"/>
  <c r="E13" i="4"/>
  <c r="C29" i="4"/>
  <c r="D19" i="4"/>
  <c r="C25" i="4"/>
  <c r="E25" i="4"/>
  <c r="E10" i="4"/>
  <c r="C30" i="4"/>
  <c r="C28" i="4"/>
  <c r="E30" i="4"/>
  <c r="E20" i="7"/>
  <c r="D13" i="4"/>
  <c r="E23" i="4"/>
  <c r="D10" i="4"/>
  <c r="E19" i="4"/>
  <c r="C27" i="4"/>
  <c r="D30" i="4"/>
  <c r="C21" i="7"/>
  <c r="C23" i="4"/>
  <c r="D16" i="4"/>
  <c r="D12" i="4"/>
  <c r="D9" i="4"/>
  <c r="D31" i="4"/>
  <c r="E9" i="4"/>
  <c r="E31" i="4"/>
  <c r="C32" i="4"/>
  <c r="D56" i="2"/>
  <c r="C24" i="4"/>
  <c r="E12" i="4"/>
  <c r="C22" i="4"/>
  <c r="D25" i="4"/>
  <c r="C19" i="4"/>
  <c r="C16" i="4"/>
  <c r="E22" i="4"/>
  <c r="E24" i="4"/>
  <c r="C8" i="4"/>
  <c r="E11" i="4"/>
  <c r="C14" i="4"/>
  <c r="D22" i="4"/>
  <c r="D24" i="4"/>
  <c r="E56" i="2"/>
  <c r="E49" i="4" s="1"/>
  <c r="E8" i="4"/>
  <c r="E27" i="4"/>
  <c r="E12" i="7"/>
  <c r="F16" i="7"/>
  <c r="D12" i="7"/>
  <c r="D16" i="7"/>
  <c r="E16" i="7"/>
  <c r="E7" i="7"/>
  <c r="C16" i="7"/>
  <c r="C20" i="7"/>
  <c r="C22" i="7" s="1"/>
  <c r="G16" i="7"/>
  <c r="G26" i="7"/>
  <c r="D20" i="7"/>
  <c r="C26" i="7"/>
  <c r="F26" i="7"/>
  <c r="F7" i="7"/>
  <c r="D7" i="7"/>
  <c r="G7" i="7"/>
  <c r="E37" i="4"/>
  <c r="E38" i="4"/>
  <c r="E44" i="4"/>
  <c r="E43" i="4"/>
  <c r="E40" i="4"/>
  <c r="E50" i="4"/>
  <c r="E54" i="4"/>
  <c r="E53" i="4"/>
  <c r="E41" i="4"/>
  <c r="E45" i="4"/>
  <c r="E51" i="4"/>
  <c r="E42" i="4"/>
  <c r="E39" i="4"/>
  <c r="E48" i="4"/>
  <c r="E52" i="4"/>
  <c r="C41" i="4"/>
  <c r="C50" i="4"/>
  <c r="C37" i="4"/>
  <c r="C43" i="4"/>
  <c r="C38" i="4"/>
  <c r="C52" i="4"/>
  <c r="C45" i="4"/>
  <c r="C54" i="4"/>
  <c r="C49" i="4"/>
  <c r="C42" i="4"/>
  <c r="C12" i="5"/>
  <c r="F12" i="5"/>
  <c r="E12" i="5"/>
  <c r="C20" i="1"/>
  <c r="E20" i="1"/>
  <c r="D20" i="1"/>
  <c r="D22" i="1" s="1"/>
  <c r="G45" i="2"/>
  <c r="F45" i="2"/>
  <c r="G55" i="2"/>
  <c r="G11" i="7" s="1"/>
  <c r="F55" i="2"/>
  <c r="F11" i="7" s="1"/>
  <c r="G31" i="2"/>
  <c r="F31" i="2"/>
  <c r="G19" i="2"/>
  <c r="F19" i="2"/>
  <c r="G14" i="1"/>
  <c r="F14" i="1"/>
  <c r="D22" i="5" l="1"/>
  <c r="D18" i="7"/>
  <c r="D19" i="7"/>
  <c r="D22" i="7" s="1"/>
  <c r="C39" i="4"/>
  <c r="C53" i="4"/>
  <c r="D53" i="4"/>
  <c r="D40" i="4"/>
  <c r="D43" i="4"/>
  <c r="D54" i="4"/>
  <c r="D41" i="4"/>
  <c r="D52" i="4"/>
  <c r="D50" i="4"/>
  <c r="D49" i="4"/>
  <c r="D48" i="4"/>
  <c r="D55" i="4" s="1"/>
  <c r="D42" i="4"/>
  <c r="D37" i="4"/>
  <c r="D39" i="4"/>
  <c r="D51" i="4"/>
  <c r="D38" i="4"/>
  <c r="F19" i="4"/>
  <c r="G19" i="4"/>
  <c r="G10" i="7"/>
  <c r="G12" i="7" s="1"/>
  <c r="G31" i="4"/>
  <c r="C55" i="4"/>
  <c r="C56" i="4" s="1"/>
  <c r="E55" i="4"/>
  <c r="E56" i="4" s="1"/>
  <c r="F31" i="4"/>
  <c r="F10" i="7"/>
  <c r="F12" i="7" s="1"/>
  <c r="D45" i="4"/>
  <c r="D20" i="5"/>
  <c r="E22" i="1"/>
  <c r="E20" i="5"/>
  <c r="C20" i="5"/>
  <c r="C22" i="1"/>
  <c r="C22" i="5" s="1"/>
  <c r="F20" i="1"/>
  <c r="F14" i="5"/>
  <c r="G20" i="1"/>
  <c r="G14" i="5"/>
  <c r="F32" i="2"/>
  <c r="G32" i="2"/>
  <c r="F56" i="2"/>
  <c r="G56" i="2"/>
  <c r="E22" i="5" l="1"/>
  <c r="E18" i="7"/>
  <c r="E19" i="7"/>
  <c r="E22" i="7" s="1"/>
  <c r="F38" i="4"/>
  <c r="F52" i="4"/>
  <c r="F53" i="4"/>
  <c r="F40" i="4"/>
  <c r="F48" i="4"/>
  <c r="F51" i="4"/>
  <c r="F49" i="4"/>
  <c r="F50" i="4"/>
  <c r="F43" i="4"/>
  <c r="F39" i="4"/>
  <c r="F54" i="4"/>
  <c r="F41" i="4"/>
  <c r="F44" i="4"/>
  <c r="F37" i="4"/>
  <c r="G32" i="4"/>
  <c r="G8" i="4"/>
  <c r="G21" i="7"/>
  <c r="G22" i="4"/>
  <c r="G20" i="7"/>
  <c r="F14" i="4"/>
  <c r="F16" i="4"/>
  <c r="F9" i="4"/>
  <c r="F25" i="4"/>
  <c r="F32" i="4"/>
  <c r="F27" i="4"/>
  <c r="F8" i="4"/>
  <c r="F23" i="4"/>
  <c r="F11" i="4"/>
  <c r="F15" i="4"/>
  <c r="F24" i="4"/>
  <c r="F28" i="4"/>
  <c r="F22" i="4"/>
  <c r="F20" i="7"/>
  <c r="F17" i="4"/>
  <c r="F18" i="4"/>
  <c r="F10" i="4"/>
  <c r="F21" i="7"/>
  <c r="F12" i="4"/>
  <c r="F29" i="4"/>
  <c r="F30" i="4"/>
  <c r="F26" i="4"/>
  <c r="F13" i="4"/>
  <c r="D56" i="4"/>
  <c r="F45" i="4"/>
  <c r="G50" i="4"/>
  <c r="G54" i="4"/>
  <c r="G43" i="4"/>
  <c r="G49" i="4"/>
  <c r="G39" i="4"/>
  <c r="G44" i="4"/>
  <c r="G51" i="4"/>
  <c r="G48" i="4"/>
  <c r="G40" i="4"/>
  <c r="G41" i="4"/>
  <c r="G53" i="4"/>
  <c r="G37" i="4"/>
  <c r="G52" i="4"/>
  <c r="G45" i="4"/>
  <c r="G38" i="4"/>
  <c r="G22" i="1"/>
  <c r="G20" i="5"/>
  <c r="F22" i="1"/>
  <c r="F20" i="5"/>
  <c r="G22" i="5" l="1"/>
  <c r="G18" i="7"/>
  <c r="G19" i="7"/>
  <c r="F18" i="7"/>
  <c r="F19" i="7"/>
  <c r="F55" i="4"/>
  <c r="F56" i="4" s="1"/>
  <c r="F22" i="7"/>
  <c r="G22" i="7"/>
  <c r="G55" i="4"/>
  <c r="G56" i="4"/>
</calcChain>
</file>

<file path=xl/sharedStrings.xml><?xml version="1.0" encoding="utf-8"?>
<sst xmlns="http://schemas.openxmlformats.org/spreadsheetml/2006/main" count="302" uniqueCount="99">
  <si>
    <t xml:space="preserve">INCOME STATEMENT </t>
  </si>
  <si>
    <t>INR ( CR )</t>
  </si>
  <si>
    <t xml:space="preserve">PARTICULAR </t>
  </si>
  <si>
    <t xml:space="preserve">Revenue from operations </t>
  </si>
  <si>
    <t>operating expenses</t>
  </si>
  <si>
    <t>cost of materials consumed</t>
  </si>
  <si>
    <t xml:space="preserve">excise duty on sale of goods </t>
  </si>
  <si>
    <t xml:space="preserve">employee benefits expenses </t>
  </si>
  <si>
    <t xml:space="preserve">other expenses </t>
  </si>
  <si>
    <t>Total operating expenses</t>
  </si>
  <si>
    <t>EBITDA</t>
  </si>
  <si>
    <t>Depreciation and amortisation expenses</t>
  </si>
  <si>
    <t>EBIT</t>
  </si>
  <si>
    <t xml:space="preserve">Other income </t>
  </si>
  <si>
    <t xml:space="preserve">Finance cost </t>
  </si>
  <si>
    <t xml:space="preserve">share in profit/(loss) of associate , net of tax </t>
  </si>
  <si>
    <t xml:space="preserve">Gain on dilution of interest in an associate </t>
  </si>
  <si>
    <t xml:space="preserve">profit before tax </t>
  </si>
  <si>
    <t xml:space="preserve">Tax expenses </t>
  </si>
  <si>
    <t xml:space="preserve">Profit after tax / Net profit </t>
  </si>
  <si>
    <t>-</t>
  </si>
  <si>
    <t>operating item</t>
  </si>
  <si>
    <t>non-operating item</t>
  </si>
  <si>
    <t xml:space="preserve">BALANCE SHEET </t>
  </si>
  <si>
    <t>PARTICULAR</t>
  </si>
  <si>
    <t>ASSETS</t>
  </si>
  <si>
    <t xml:space="preserve">property , plant and equipment </t>
  </si>
  <si>
    <t>NON - CURRENT ASSET</t>
  </si>
  <si>
    <t xml:space="preserve">intangible asset </t>
  </si>
  <si>
    <t xml:space="preserve">intangible asset under devolopment </t>
  </si>
  <si>
    <t>equity accounted investments in associates</t>
  </si>
  <si>
    <t xml:space="preserve">investments </t>
  </si>
  <si>
    <t>loans to employee</t>
  </si>
  <si>
    <t>security deposits</t>
  </si>
  <si>
    <t>income tax assets (net)</t>
  </si>
  <si>
    <t xml:space="preserve">other non-current assets </t>
  </si>
  <si>
    <t>TOTAL NON-CUURENT ASSET</t>
  </si>
  <si>
    <t>Operating item</t>
  </si>
  <si>
    <t xml:space="preserve">CURRENT ASSET </t>
  </si>
  <si>
    <t>inventories</t>
  </si>
  <si>
    <t>investments</t>
  </si>
  <si>
    <t>trade receivables</t>
  </si>
  <si>
    <t xml:space="preserve">cash and cash equivalents </t>
  </si>
  <si>
    <t>bank balances</t>
  </si>
  <si>
    <t>loans to employees</t>
  </si>
  <si>
    <t xml:space="preserve">other financial asset </t>
  </si>
  <si>
    <t>other cuurent asset</t>
  </si>
  <si>
    <t xml:space="preserve">Total current asset </t>
  </si>
  <si>
    <t>TOTAL ASSETS</t>
  </si>
  <si>
    <t>PARTICULARS</t>
  </si>
  <si>
    <t>LIABILITIES</t>
  </si>
  <si>
    <t>NON-CURRENT LIABILITIES</t>
  </si>
  <si>
    <t xml:space="preserve">Equity share capital </t>
  </si>
  <si>
    <t>other equity</t>
  </si>
  <si>
    <t>non-controlling interest</t>
  </si>
  <si>
    <t>LT debt</t>
  </si>
  <si>
    <t xml:space="preserve">employee benefits </t>
  </si>
  <si>
    <t>warrenties</t>
  </si>
  <si>
    <t>deferred tax liabilities ( net )</t>
  </si>
  <si>
    <t>Total non -cuurent liabilities</t>
  </si>
  <si>
    <t xml:space="preserve">CURRENT LIABILITIES </t>
  </si>
  <si>
    <t xml:space="preserve">ST debt </t>
  </si>
  <si>
    <t>trade payables</t>
  </si>
  <si>
    <t>other financial liabilities</t>
  </si>
  <si>
    <t xml:space="preserve">security deposits dealers and others </t>
  </si>
  <si>
    <t>other curent liabilities</t>
  </si>
  <si>
    <t>employee benefits</t>
  </si>
  <si>
    <t>warranties</t>
  </si>
  <si>
    <t xml:space="preserve">Total liabilities </t>
  </si>
  <si>
    <t xml:space="preserve">Total current liabilities </t>
  </si>
  <si>
    <t>capital work in progress</t>
  </si>
  <si>
    <t>non - current item</t>
  </si>
  <si>
    <t>HEROMOTOCORP LTD</t>
  </si>
  <si>
    <t>CASH FLOW STAEMENT</t>
  </si>
  <si>
    <t xml:space="preserve">Net cash from operating activities </t>
  </si>
  <si>
    <t>capex</t>
  </si>
  <si>
    <t xml:space="preserve">Free cash flow </t>
  </si>
  <si>
    <t>deferred tax assets ( net )</t>
  </si>
  <si>
    <t>other long term liabilities</t>
  </si>
  <si>
    <t>minority interest profit / ( loss )</t>
  </si>
  <si>
    <t>NET SALES</t>
  </si>
  <si>
    <t>Sales growth %</t>
  </si>
  <si>
    <t>CURRENT LIABILITIES</t>
  </si>
  <si>
    <t>CURRENT RATIO</t>
  </si>
  <si>
    <t xml:space="preserve">EBITDA MARGIN </t>
  </si>
  <si>
    <t>ROE</t>
  </si>
  <si>
    <t xml:space="preserve">NET PROFIT / NET SALES </t>
  </si>
  <si>
    <t xml:space="preserve">NET SALES / TOTAL ASSET </t>
  </si>
  <si>
    <t>TOTAL ASSET / SHAREHOLDER's EQUITY</t>
  </si>
  <si>
    <t>DEBT/EQUITY</t>
  </si>
  <si>
    <t>EBITDA/INTEREST EXPENSES</t>
  </si>
  <si>
    <t>SOLVENCY</t>
  </si>
  <si>
    <t>PROFITABILITY</t>
  </si>
  <si>
    <t>LIQUIDITY</t>
  </si>
  <si>
    <t>GROWTH</t>
  </si>
  <si>
    <t xml:space="preserve">NEGATIVE </t>
  </si>
  <si>
    <t>POSITIVE</t>
  </si>
  <si>
    <t>CAPEX</t>
  </si>
  <si>
    <t xml:space="preserve">particular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</si>
</sst>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\X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4" tint="-0.249977111117893"/>
      <name val="Cascadia Code"/>
      <family val="3"/>
    </font>
    <font>
      <i/>
      <sz val="11"/>
      <color theme="1"/>
      <name val="Cascadia Code"/>
      <family val="3"/>
    </font>
    <font>
      <sz val="11"/>
      <color theme="4" tint="-0.249977111117893"/>
      <name val="Cascadia Code"/>
      <family val="3"/>
    </font>
    <font>
      <b/>
      <sz val="11"/>
      <color theme="5"/>
      <name val="Arial Black"/>
      <family val="2"/>
    </font>
    <font>
      <sz val="11"/>
      <color rgb="FFC0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0" fillId="0" borderId="0" xfId="0" applyAlignment="1"/>
    <xf numFmtId="0" fontId="4" fillId="0" borderId="0" xfId="0" applyFont="1"/>
    <xf numFmtId="0" fontId="0" fillId="0" borderId="0" xfId="0" applyAlignment="1">
      <alignment horizontal="left"/>
    </xf>
    <xf numFmtId="43" fontId="2" fillId="0" borderId="0" xfId="1" applyNumberFormat="1" applyFont="1" applyAlignment="1">
      <alignment horizontal="left"/>
    </xf>
    <xf numFmtId="43" fontId="0" fillId="0" borderId="0" xfId="0" applyNumberFormat="1" applyAlignment="1">
      <alignment horizontal="left"/>
    </xf>
    <xf numFmtId="0" fontId="4" fillId="0" borderId="1" xfId="0" applyFont="1" applyBorder="1"/>
    <xf numFmtId="43" fontId="0" fillId="0" borderId="1" xfId="1" applyFont="1" applyBorder="1" applyAlignment="1">
      <alignment horizontal="left"/>
    </xf>
    <xf numFmtId="43" fontId="2" fillId="0" borderId="0" xfId="0" applyNumberFormat="1" applyFont="1" applyAlignment="1">
      <alignment horizontal="left"/>
    </xf>
    <xf numFmtId="43" fontId="0" fillId="0" borderId="0" xfId="0" applyNumberFormat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14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0" fillId="0" borderId="3" xfId="0" applyBorder="1"/>
    <xf numFmtId="43" fontId="0" fillId="0" borderId="0" xfId="1" applyFont="1"/>
    <xf numFmtId="43" fontId="0" fillId="0" borderId="3" xfId="1" applyFont="1" applyBorder="1"/>
    <xf numFmtId="0" fontId="3" fillId="0" borderId="2" xfId="0" applyFont="1" applyBorder="1"/>
    <xf numFmtId="0" fontId="0" fillId="0" borderId="2" xfId="0" applyBorder="1"/>
    <xf numFmtId="14" fontId="3" fillId="0" borderId="2" xfId="0" applyNumberFormat="1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43" fontId="0" fillId="0" borderId="0" xfId="1" applyFont="1" applyBorder="1"/>
    <xf numFmtId="43" fontId="0" fillId="0" borderId="0" xfId="1" applyFont="1" applyBorder="1" applyAlignment="1">
      <alignment horizontal="left"/>
    </xf>
    <xf numFmtId="43" fontId="0" fillId="0" borderId="0" xfId="0" applyNumberFormat="1" applyBorder="1" applyAlignment="1">
      <alignment horizontal="left"/>
    </xf>
    <xf numFmtId="43" fontId="2" fillId="0" borderId="0" xfId="0" applyNumberFormat="1" applyFont="1" applyBorder="1" applyAlignment="1">
      <alignment horizontal="left"/>
    </xf>
    <xf numFmtId="0" fontId="0" fillId="0" borderId="1" xfId="0" applyBorder="1"/>
    <xf numFmtId="0" fontId="4" fillId="0" borderId="0" xfId="0" applyFont="1" applyFill="1" applyBorder="1"/>
    <xf numFmtId="0" fontId="3" fillId="0" borderId="3" xfId="0" applyFont="1" applyBorder="1"/>
    <xf numFmtId="0" fontId="4" fillId="0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43" fontId="0" fillId="0" borderId="0" xfId="1" applyFont="1" applyAlignment="1">
      <alignment horizontal="right"/>
    </xf>
    <xf numFmtId="43" fontId="0" fillId="0" borderId="3" xfId="1" applyFont="1" applyBorder="1" applyAlignment="1">
      <alignment horizontal="right"/>
    </xf>
    <xf numFmtId="43" fontId="0" fillId="0" borderId="1" xfId="1" applyFont="1" applyBorder="1" applyAlignment="1">
      <alignment horizontal="right"/>
    </xf>
    <xf numFmtId="43" fontId="0" fillId="0" borderId="1" xfId="1" applyFont="1" applyBorder="1"/>
    <xf numFmtId="9" fontId="4" fillId="0" borderId="1" xfId="2" applyFont="1" applyBorder="1"/>
    <xf numFmtId="9" fontId="11" fillId="0" borderId="0" xfId="2" applyFont="1"/>
    <xf numFmtId="43" fontId="4" fillId="0" borderId="1" xfId="1" applyFont="1" applyBorder="1"/>
    <xf numFmtId="43" fontId="11" fillId="0" borderId="0" xfId="1" applyFont="1"/>
    <xf numFmtId="43" fontId="4" fillId="0" borderId="0" xfId="1" applyFont="1"/>
    <xf numFmtId="43" fontId="0" fillId="0" borderId="0" xfId="1" applyFont="1" applyAlignment="1">
      <alignment horizontal="left"/>
    </xf>
    <xf numFmtId="43" fontId="2" fillId="0" borderId="0" xfId="1" applyFont="1" applyAlignment="1">
      <alignment horizontal="left"/>
    </xf>
    <xf numFmtId="0" fontId="2" fillId="0" borderId="0" xfId="0" applyFont="1"/>
    <xf numFmtId="10" fontId="0" fillId="0" borderId="0" xfId="2" applyNumberFormat="1" applyFont="1" applyAlignment="1">
      <alignment horizontal="right"/>
    </xf>
    <xf numFmtId="165" fontId="0" fillId="0" borderId="0" xfId="2" applyNumberFormat="1" applyFont="1" applyAlignment="1">
      <alignment horizontal="right"/>
    </xf>
    <xf numFmtId="165" fontId="0" fillId="0" borderId="1" xfId="2" applyNumberFormat="1" applyFont="1" applyBorder="1" applyAlignment="1">
      <alignment horizontal="right"/>
    </xf>
    <xf numFmtId="10" fontId="0" fillId="0" borderId="1" xfId="1" applyNumberFormat="1" applyFont="1" applyBorder="1" applyAlignment="1">
      <alignment horizontal="right"/>
    </xf>
    <xf numFmtId="9" fontId="0" fillId="0" borderId="3" xfId="2" applyFont="1" applyBorder="1" applyAlignment="1">
      <alignment horizontal="right"/>
    </xf>
    <xf numFmtId="9" fontId="4" fillId="0" borderId="1" xfId="1" applyNumberFormat="1" applyFont="1" applyBorder="1"/>
    <xf numFmtId="14" fontId="0" fillId="0" borderId="0" xfId="0" applyNumberFormat="1"/>
    <xf numFmtId="43" fontId="0" fillId="0" borderId="0" xfId="0" applyNumberFormat="1"/>
    <xf numFmtId="2" fontId="0" fillId="0" borderId="0" xfId="0" applyNumberFormat="1"/>
    <xf numFmtId="165" fontId="0" fillId="0" borderId="0" xfId="2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0" fontId="5" fillId="0" borderId="1" xfId="0" applyFont="1" applyBorder="1"/>
    <xf numFmtId="0" fontId="5" fillId="0" borderId="0" xfId="0" applyFont="1" applyBorder="1"/>
    <xf numFmtId="43" fontId="4" fillId="0" borderId="0" xfId="1" applyFont="1" applyBorder="1"/>
    <xf numFmtId="43" fontId="11" fillId="0" borderId="0" xfId="1" applyFont="1" applyBorder="1"/>
    <xf numFmtId="43" fontId="2" fillId="0" borderId="0" xfId="1" applyFont="1" applyBorder="1" applyAlignment="1">
      <alignment horizontal="left"/>
    </xf>
    <xf numFmtId="43" fontId="0" fillId="0" borderId="1" xfId="0" applyNumberFormat="1" applyBorder="1"/>
    <xf numFmtId="0" fontId="12" fillId="0" borderId="0" xfId="0" applyFont="1"/>
    <xf numFmtId="0" fontId="0" fillId="0" borderId="0" xfId="0" applyAlignment="1">
      <alignment horizontal="left"/>
    </xf>
    <xf numFmtId="9" fontId="11" fillId="0" borderId="5" xfId="2" applyFont="1" applyBorder="1"/>
    <xf numFmtId="9" fontId="11" fillId="0" borderId="1" xfId="2" applyFont="1" applyBorder="1"/>
    <xf numFmtId="165" fontId="0" fillId="0" borderId="3" xfId="2" applyNumberFormat="1" applyFont="1" applyBorder="1" applyAlignment="1">
      <alignment horizontal="right"/>
    </xf>
    <xf numFmtId="0" fontId="3" fillId="0" borderId="1" xfId="0" applyFont="1" applyBorder="1"/>
    <xf numFmtId="0" fontId="3" fillId="0" borderId="0" xfId="0" applyFont="1" applyBorder="1"/>
    <xf numFmtId="43" fontId="0" fillId="0" borderId="2" xfId="1" applyFont="1" applyBorder="1" applyAlignment="1">
      <alignment horizontal="left"/>
    </xf>
    <xf numFmtId="0" fontId="4" fillId="0" borderId="2" xfId="0" applyFont="1" applyBorder="1"/>
    <xf numFmtId="43" fontId="4" fillId="0" borderId="2" xfId="1" applyFont="1" applyBorder="1"/>
    <xf numFmtId="43" fontId="11" fillId="0" borderId="1" xfId="1" applyFont="1" applyBorder="1"/>
    <xf numFmtId="43" fontId="2" fillId="0" borderId="1" xfId="1" applyFont="1" applyBorder="1" applyAlignment="1">
      <alignment horizontal="left"/>
    </xf>
    <xf numFmtId="0" fontId="4" fillId="0" borderId="0" xfId="0" applyFont="1" applyBorder="1"/>
    <xf numFmtId="0" fontId="4" fillId="0" borderId="3" xfId="0" applyFont="1" applyBorder="1"/>
    <xf numFmtId="43" fontId="4" fillId="0" borderId="3" xfId="1" applyFont="1" applyBorder="1"/>
    <xf numFmtId="43" fontId="0" fillId="0" borderId="3" xfId="1" applyFont="1" applyBorder="1" applyAlignment="1">
      <alignment horizontal="left"/>
    </xf>
    <xf numFmtId="0" fontId="13" fillId="0" borderId="0" xfId="0" applyFont="1"/>
    <xf numFmtId="166" fontId="3" fillId="0" borderId="1" xfId="0" applyNumberFormat="1" applyFont="1" applyBorder="1"/>
    <xf numFmtId="165" fontId="0" fillId="0" borderId="1" xfId="2" applyNumberFormat="1" applyFont="1" applyBorder="1"/>
    <xf numFmtId="14" fontId="3" fillId="0" borderId="2" xfId="0" applyNumberFormat="1" applyFont="1" applyBorder="1" applyAlignment="1">
      <alignment horizontal="right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0134-E0CF-4D53-9C5D-9336495F8625}">
  <sheetPr codeName="Sheet1"/>
  <dimension ref="A1:W23"/>
  <sheetViews>
    <sheetView showGridLines="0" workbookViewId="0">
      <selection activeCell="Q16" sqref="Q16"/>
    </sheetView>
  </sheetViews>
  <sheetFormatPr defaultRowHeight="15" x14ac:dyDescent="0.25"/>
  <cols>
    <col min="1" max="1" width="41.42578125" bestFit="1" customWidth="1"/>
    <col min="2" max="2" width="4.85546875" customWidth="1"/>
    <col min="3" max="4" width="11.85546875" bestFit="1" customWidth="1"/>
    <col min="5" max="6" width="9.7109375" bestFit="1" customWidth="1"/>
    <col min="7" max="7" width="11.28515625" bestFit="1" customWidth="1"/>
    <col min="8" max="8" width="9.7109375" bestFit="1" customWidth="1"/>
  </cols>
  <sheetData>
    <row r="1" spans="1:23" ht="18.75" x14ac:dyDescent="0.4">
      <c r="A1" s="85" t="s">
        <v>72</v>
      </c>
      <c r="B1" s="85"/>
      <c r="C1" s="85"/>
      <c r="D1" s="85"/>
      <c r="E1" s="85"/>
      <c r="F1" s="85"/>
      <c r="G1" s="85"/>
      <c r="H1" s="85"/>
      <c r="I1" s="8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86" t="s">
        <v>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</row>
    <row r="3" spans="1:23" x14ac:dyDescent="0.25">
      <c r="A3" s="87" t="s">
        <v>1</v>
      </c>
      <c r="B3" s="87"/>
      <c r="C3" s="87"/>
      <c r="D3" s="87"/>
      <c r="E3" s="87"/>
      <c r="F3" s="87"/>
    </row>
    <row r="4" spans="1:23" x14ac:dyDescent="0.25">
      <c r="A4" s="1" t="s">
        <v>2</v>
      </c>
      <c r="B4" s="1"/>
      <c r="C4" s="13">
        <v>41729</v>
      </c>
      <c r="D4" s="13">
        <v>42094</v>
      </c>
      <c r="E4" s="13">
        <v>42460</v>
      </c>
      <c r="F4" s="13">
        <v>42825</v>
      </c>
      <c r="G4" s="13">
        <v>43190</v>
      </c>
      <c r="H4" s="13">
        <v>43555</v>
      </c>
    </row>
    <row r="5" spans="1:23" ht="16.5" x14ac:dyDescent="0.3">
      <c r="A5" s="7" t="s">
        <v>3</v>
      </c>
      <c r="B5" s="7"/>
      <c r="C5" s="39">
        <f>'income statement'!C5/'income statement'!C$5</f>
        <v>1</v>
      </c>
      <c r="D5" s="39">
        <f>'income statement'!D5/'income statement'!D$5</f>
        <v>1</v>
      </c>
      <c r="E5" s="39">
        <f>'income statement'!E5/'income statement'!E$5</f>
        <v>1</v>
      </c>
      <c r="F5" s="39">
        <f>'income statement'!F5/'income statement'!F$5</f>
        <v>1</v>
      </c>
      <c r="G5" s="39">
        <f>'income statement'!G5/'income statement'!G$5</f>
        <v>1</v>
      </c>
      <c r="H5" s="39">
        <f>'income statement'!H5/'income statement'!H$5</f>
        <v>1</v>
      </c>
      <c r="I5" s="31" t="s">
        <v>21</v>
      </c>
    </row>
    <row r="6" spans="1:23" ht="16.5" x14ac:dyDescent="0.3">
      <c r="A6" s="3" t="s">
        <v>4</v>
      </c>
      <c r="B6" s="3"/>
      <c r="C6" s="42"/>
      <c r="D6" s="43"/>
      <c r="E6" s="43"/>
      <c r="F6" s="44"/>
      <c r="G6" s="44"/>
      <c r="H6" s="66"/>
      <c r="I6" s="33"/>
    </row>
    <row r="7" spans="1:23" ht="16.5" x14ac:dyDescent="0.3">
      <c r="A7" s="3" t="s">
        <v>5</v>
      </c>
      <c r="B7" s="3"/>
      <c r="C7" s="40">
        <f>-'income statement'!C7/'income statement'!C$5</f>
        <v>0.67506017404184415</v>
      </c>
      <c r="D7" s="40">
        <f>-'income statement'!D7/'income statement'!D$5</f>
        <v>0.67933565349229863</v>
      </c>
      <c r="E7" s="40">
        <f>-'income statement'!E7/'income statement'!E$5</f>
        <v>0.62861793911769492</v>
      </c>
      <c r="F7" s="40">
        <f>-'income statement'!F7/'income statement'!F$5</f>
        <v>0.61696359411309065</v>
      </c>
      <c r="G7" s="40">
        <f>-'income statement'!G7/'income statement'!G$5</f>
        <v>0.66058427237847794</v>
      </c>
      <c r="H7" s="40">
        <f>-'income statement'!H7/'income statement'!H$5</f>
        <v>0.69009772754032728</v>
      </c>
      <c r="I7" s="31" t="s">
        <v>21</v>
      </c>
    </row>
    <row r="8" spans="1:23" ht="16.5" x14ac:dyDescent="0.3">
      <c r="A8" s="3" t="s">
        <v>6</v>
      </c>
      <c r="B8" s="3"/>
      <c r="C8" s="40">
        <f>-'income statement'!C8/'income statement'!C$5</f>
        <v>6.9616737641177553E-2</v>
      </c>
      <c r="D8" s="40">
        <f>-'income statement'!D8/'income statement'!D$5</f>
        <v>5.9198511422762827E-2</v>
      </c>
      <c r="E8" s="40">
        <f>-'income statement'!E8/'income statement'!E$5</f>
        <v>7.3514569428617935E-2</v>
      </c>
      <c r="F8" s="40">
        <f>-'income statement'!F8/'income statement'!F$5</f>
        <v>7.658791634391944E-2</v>
      </c>
      <c r="G8" s="40">
        <f>-'income statement'!G8/'income statement'!G$5</f>
        <v>1.942539500317211E-2</v>
      </c>
      <c r="H8" s="40">
        <f>-'income statement'!H8/'income statement'!H$5</f>
        <v>2.9436006122689274E-5</v>
      </c>
      <c r="I8" s="31" t="s">
        <v>21</v>
      </c>
    </row>
    <row r="9" spans="1:23" ht="16.5" x14ac:dyDescent="0.3">
      <c r="A9" s="3" t="s">
        <v>7</v>
      </c>
      <c r="B9" s="3"/>
      <c r="C9" s="40">
        <f>-'income statement'!C9/'income statement'!C$5</f>
        <v>3.4438067024625069E-2</v>
      </c>
      <c r="D9" s="40">
        <f>-'income statement'!D9/'income statement'!D$5</f>
        <v>4.0625753764515354E-2</v>
      </c>
      <c r="E9" s="40">
        <f>-'income statement'!E9/'income statement'!E$5</f>
        <v>4.3594335015464759E-2</v>
      </c>
      <c r="F9" s="40">
        <f>-'income statement'!F9/'income statement'!F$5</f>
        <v>4.6217402530338236E-2</v>
      </c>
      <c r="G9" s="40">
        <f>-'income statement'!G9/'income statement'!G$5</f>
        <v>4.7853539168000968E-2</v>
      </c>
      <c r="H9" s="40">
        <f>-'income statement'!H9/'income statement'!H$5</f>
        <v>5.2337218886141526E-2</v>
      </c>
      <c r="I9" s="31" t="s">
        <v>21</v>
      </c>
    </row>
    <row r="10" spans="1:23" ht="16.5" x14ac:dyDescent="0.3">
      <c r="A10" s="3" t="s">
        <v>8</v>
      </c>
      <c r="B10" s="3"/>
      <c r="C10" s="40">
        <f>-'income statement'!C10/'income statement'!C$5</f>
        <v>8.9835215700796153E-2</v>
      </c>
      <c r="D10" s="40">
        <f>-'income statement'!D10/'income statement'!D$5</f>
        <v>0.10037559008993488</v>
      </c>
      <c r="E10" s="40">
        <f>-'income statement'!E10/'income statement'!E$5</f>
        <v>0.11108578870258831</v>
      </c>
      <c r="F10" s="40">
        <f>-'income statement'!F10/'income statement'!F$5</f>
        <v>0.11250968241673122</v>
      </c>
      <c r="G10" s="40">
        <f>-'income statement'!G10/'income statement'!G$5</f>
        <v>0.1106915198936588</v>
      </c>
      <c r="H10" s="40">
        <f>-'income statement'!H10/'income statement'!H$5</f>
        <v>0.10979630283763099</v>
      </c>
      <c r="I10" s="31" t="s">
        <v>21</v>
      </c>
    </row>
    <row r="11" spans="1:23" ht="16.5" x14ac:dyDescent="0.3">
      <c r="A11" s="3" t="s">
        <v>9</v>
      </c>
      <c r="B11" s="3"/>
      <c r="C11" s="40">
        <f>-'income statement'!C11/'income statement'!C$5</f>
        <v>-0.8689501944084429</v>
      </c>
      <c r="D11" s="40">
        <f>-'income statement'!D11/'income statement'!D$5</f>
        <v>-0.87950105096309572</v>
      </c>
      <c r="E11" s="40">
        <f>-'income statement'!E11/'income statement'!E$5</f>
        <v>-0.85684518964675238</v>
      </c>
      <c r="F11" s="40">
        <f>-'income statement'!F11/'income statement'!F$5</f>
        <v>-0.85231087012651696</v>
      </c>
      <c r="G11" s="40">
        <f>-'income statement'!G11/'income statement'!G$5</f>
        <v>-0.83912872722878462</v>
      </c>
      <c r="H11" s="40">
        <f>-'income statement'!H11/'income statement'!H$5</f>
        <v>-0.85229012127634518</v>
      </c>
      <c r="I11" s="33"/>
    </row>
    <row r="12" spans="1:23" ht="16.5" x14ac:dyDescent="0.3">
      <c r="A12" s="7" t="s">
        <v>10</v>
      </c>
      <c r="B12" s="7"/>
      <c r="C12" s="52">
        <f>C5+C11</f>
        <v>0.1310498055915571</v>
      </c>
      <c r="D12" s="52">
        <f t="shared" ref="D12:H12" si="0">D5+D11</f>
        <v>0.12049894903690428</v>
      </c>
      <c r="E12" s="52">
        <f t="shared" si="0"/>
        <v>0.14315481035324762</v>
      </c>
      <c r="F12" s="52">
        <f t="shared" si="0"/>
        <v>0.14768912987348304</v>
      </c>
      <c r="G12" s="52">
        <f t="shared" si="0"/>
        <v>0.16087127277121538</v>
      </c>
      <c r="H12" s="52">
        <f t="shared" si="0"/>
        <v>0.14770987872365482</v>
      </c>
      <c r="I12" s="33"/>
    </row>
    <row r="13" spans="1:23" ht="16.5" x14ac:dyDescent="0.3">
      <c r="A13" s="3" t="s">
        <v>11</v>
      </c>
      <c r="B13" s="3"/>
      <c r="C13" s="40">
        <f>'income statement'!C13/'income statement'!C$5</f>
        <v>-4.0992408813182744E-2</v>
      </c>
      <c r="D13" s="40">
        <f>'income statement'!D13/'income statement'!D$5</f>
        <v>-1.8607215464663519E-2</v>
      </c>
      <c r="E13" s="40">
        <f>'income statement'!E13/'income statement'!E$5</f>
        <v>-1.4422920397200065E-2</v>
      </c>
      <c r="F13" s="40">
        <f>-'income statement'!F13/'income statement'!F$5</f>
        <v>-1.6201910663568294E-2</v>
      </c>
      <c r="G13" s="40">
        <f>'income statement'!G13/'income statement'!G$5</f>
        <v>-1.7371076402525602E-2</v>
      </c>
      <c r="H13" s="40">
        <f>'income statement'!H13/'income statement'!H$5</f>
        <v>-1.8368067820558106E-2</v>
      </c>
      <c r="I13" s="31" t="s">
        <v>21</v>
      </c>
    </row>
    <row r="14" spans="1:23" ht="16.5" x14ac:dyDescent="0.3">
      <c r="A14" s="7" t="s">
        <v>12</v>
      </c>
      <c r="B14" s="7"/>
      <c r="C14" s="68">
        <f>'income statement'!C14/'income statement'!C$5</f>
        <v>9.0057396778374377E-2</v>
      </c>
      <c r="D14" s="68">
        <f>'income statement'!D14/'income statement'!D$5</f>
        <v>0.10189173357224079</v>
      </c>
      <c r="E14" s="68">
        <f>'income statement'!E14/'income statement'!E$5</f>
        <v>0.12873188995604753</v>
      </c>
      <c r="F14" s="68">
        <f>-'income statement'!F14/'income statement'!F$5</f>
        <v>-0.1314872192099148</v>
      </c>
      <c r="G14" s="68">
        <f>'income statement'!G14/'income statement'!G$5</f>
        <v>0.14350019636868977</v>
      </c>
      <c r="H14" s="68">
        <f>'income statement'!H14/'income statement'!H$5</f>
        <v>0.12934181090309665</v>
      </c>
      <c r="I14" s="33"/>
    </row>
    <row r="15" spans="1:23" ht="16.5" x14ac:dyDescent="0.3">
      <c r="A15" s="3" t="s">
        <v>13</v>
      </c>
      <c r="B15" s="3"/>
      <c r="C15" s="40">
        <f>'income statement'!C15/'income statement'!C$5</f>
        <v>1.6441399740788742E-2</v>
      </c>
      <c r="D15" s="40">
        <f>'income statement'!D15/'income statement'!D$5</f>
        <v>1.1956858826367113E-2</v>
      </c>
      <c r="E15" s="40">
        <f>'income statement'!E15/'income statement'!E$5</f>
        <v>1.3446198925606381E-2</v>
      </c>
      <c r="F15" s="40">
        <f>-'income statement'!F15/'income statement'!F$5</f>
        <v>-1.6847405112316034E-2</v>
      </c>
      <c r="G15" s="40">
        <f>'income statement'!G15/'income statement'!G$5</f>
        <v>1.5800126884384157E-2</v>
      </c>
      <c r="H15" s="40">
        <f>'income statement'!H15/'income statement'!H$5</f>
        <v>2.0222536206287531E-2</v>
      </c>
      <c r="I15" s="31" t="s">
        <v>22</v>
      </c>
    </row>
    <row r="16" spans="1:23" ht="16.5" x14ac:dyDescent="0.3">
      <c r="A16" s="3" t="s">
        <v>14</v>
      </c>
      <c r="B16" s="3"/>
      <c r="C16" s="40">
        <f>'income statement'!C16/'income statement'!C$5</f>
        <v>-4.4436215515645253E-4</v>
      </c>
      <c r="D16" s="40">
        <f>'income statement'!D16/'income statement'!D$5</f>
        <v>-4.1349367699252266E-4</v>
      </c>
      <c r="E16" s="40">
        <f>'income statement'!E16/'income statement'!E$5</f>
        <v>-4.8836073579684193E-4</v>
      </c>
      <c r="F16" s="40">
        <f>-'income statement'!F16/'income statement'!F$5</f>
        <v>8.7141750580945008E-4</v>
      </c>
      <c r="G16" s="40">
        <f>'income statement'!G16/'income statement'!G$5</f>
        <v>-9.3652759735355425E-4</v>
      </c>
      <c r="H16" s="40">
        <f>'income statement'!H16/'income statement'!H$5</f>
        <v>-1.0891322265395031E-3</v>
      </c>
      <c r="I16" s="31" t="s">
        <v>22</v>
      </c>
    </row>
    <row r="17" spans="1:9" ht="16.5" x14ac:dyDescent="0.3">
      <c r="A17" s="3" t="s">
        <v>15</v>
      </c>
      <c r="B17" s="3"/>
      <c r="C17" s="40">
        <f>'income statement'!C17/'income statement'!C$5</f>
        <v>-1.4812071838548417E-4</v>
      </c>
      <c r="D17" s="40">
        <f>'income statement'!D17/'income statement'!D$5</f>
        <v>5.1686709624065331E-4</v>
      </c>
      <c r="E17" s="40">
        <f>'income statement'!E17/'income statement'!E$5</f>
        <v>1.1069510011395083E-3</v>
      </c>
      <c r="F17" s="40">
        <f>-'income statement'!F17/'income statement'!F$5</f>
        <v>-1.7751097340562871E-3</v>
      </c>
      <c r="G17" s="40">
        <f>'income statement'!G17/'income statement'!G$5</f>
        <v>1.5105283828283135E-3</v>
      </c>
      <c r="H17" s="40">
        <f>'income statement'!H17/'income statement'!H$5</f>
        <v>1.7955963734840458E-3</v>
      </c>
      <c r="I17" s="31" t="s">
        <v>22</v>
      </c>
    </row>
    <row r="18" spans="1:9" ht="16.5" x14ac:dyDescent="0.3">
      <c r="A18" s="3" t="s">
        <v>16</v>
      </c>
      <c r="B18" s="3"/>
      <c r="C18" s="40">
        <f>'income statement'!C18/'income statement'!C$5</f>
        <v>0</v>
      </c>
      <c r="D18" s="40">
        <f>'income statement'!D18/'income statement'!D$5</f>
        <v>0</v>
      </c>
      <c r="E18" s="40">
        <f>'income statement'!E18/'income statement'!E$5</f>
        <v>0</v>
      </c>
      <c r="F18" s="40">
        <f>-'income statement'!F18/'income statement'!F$5</f>
        <v>-8.4559772785954036E-3</v>
      </c>
      <c r="G18" s="40">
        <v>0</v>
      </c>
      <c r="H18" s="40">
        <v>0</v>
      </c>
      <c r="I18" s="31" t="s">
        <v>22</v>
      </c>
    </row>
    <row r="19" spans="1:9" ht="16.5" x14ac:dyDescent="0.3">
      <c r="A19" s="3" t="s">
        <v>79</v>
      </c>
      <c r="B19" s="3"/>
      <c r="C19" s="40">
        <f>'income statement'!C19/'income statement'!C$5</f>
        <v>0</v>
      </c>
      <c r="D19" s="40">
        <f>'income statement'!D19/'income statement'!D$5</f>
        <v>3.4457806416043553E-5</v>
      </c>
      <c r="E19" s="40">
        <f>'income statement'!E19/'income statement'!E$5</f>
        <v>1.3022952954582452E-4</v>
      </c>
      <c r="F19" s="40">
        <f>-'income statement'!F19/'income statement'!F$5</f>
        <v>0</v>
      </c>
      <c r="G19" s="40">
        <f>'income statement'!G19/'income statement'!G$5</f>
        <v>0</v>
      </c>
      <c r="H19" s="40">
        <v>0</v>
      </c>
      <c r="I19" s="31"/>
    </row>
    <row r="20" spans="1:9" ht="16.5" x14ac:dyDescent="0.3">
      <c r="A20" s="7" t="s">
        <v>17</v>
      </c>
      <c r="B20" s="7"/>
      <c r="C20" s="68">
        <f>'income statement'!C20/'income statement'!C$5</f>
        <v>0.10590631364562118</v>
      </c>
      <c r="D20" s="68">
        <f>'income statement'!D20/'income statement'!D$5</f>
        <v>0.11398642362427208</v>
      </c>
      <c r="E20" s="68">
        <f>'income statement'!E20/'income statement'!E$5</f>
        <v>0.1429269086765424</v>
      </c>
      <c r="F20" s="68">
        <f>-'income statement'!F20/'income statement'!F$5</f>
        <v>-0.15769429382907307</v>
      </c>
      <c r="G20" s="68">
        <f>'income statement'!G20/'income statement'!G$5</f>
        <v>0.15987432403854868</v>
      </c>
      <c r="H20" s="68">
        <f>'income statement'!H20/'income statement'!H$5</f>
        <v>0.15027081125632874</v>
      </c>
      <c r="I20" s="33"/>
    </row>
    <row r="21" spans="1:9" ht="16.5" x14ac:dyDescent="0.3">
      <c r="A21" s="7" t="s">
        <v>18</v>
      </c>
      <c r="B21" s="7"/>
      <c r="C21" s="68">
        <f>'income statement'!C21/'income statement'!C$5</f>
        <v>-2.806887613404925E-2</v>
      </c>
      <c r="D21" s="68">
        <f>'income statement'!D21/'income statement'!D$5</f>
        <v>-3.2493711450329074E-2</v>
      </c>
      <c r="E21" s="68">
        <f>'income statement'!E21/'income statement'!E$5</f>
        <v>-4.1510662542731565E-2</v>
      </c>
      <c r="F21" s="68">
        <f>'income statement'!F21/'income statement'!F$5</f>
        <v>-4.3215853343661244E-2</v>
      </c>
      <c r="G21" s="68">
        <f>'income statement'!G21/'income statement'!G$5</f>
        <v>-4.7430591220809039E-2</v>
      </c>
      <c r="H21" s="68">
        <f>'income statement'!H21/'income statement'!H$5</f>
        <v>-4.821617802896503E-2</v>
      </c>
      <c r="I21" s="31" t="s">
        <v>21</v>
      </c>
    </row>
    <row r="22" spans="1:9" ht="15.75" thickBot="1" x14ac:dyDescent="0.3">
      <c r="A22" s="12" t="s">
        <v>19</v>
      </c>
      <c r="B22" s="12"/>
      <c r="C22" s="67">
        <f>'income statement'!C22/'income statement'!C$5</f>
        <v>7.7837437511571933E-2</v>
      </c>
      <c r="D22" s="67">
        <f>'income statement'!D22/'income statement'!D$5</f>
        <v>8.1492712173943008E-2</v>
      </c>
      <c r="E22" s="67">
        <f>'income statement'!E22/'income statement'!E$5</f>
        <v>0.10141624613381084</v>
      </c>
      <c r="F22" s="67">
        <f>'income statement'!G22/'income statement'!G$5</f>
        <v>0.11244373281773964</v>
      </c>
      <c r="G22" s="67">
        <f>'income statement'!G22/'income statement'!G$5</f>
        <v>0.11244373281773964</v>
      </c>
      <c r="H22" s="67">
        <f>'income statement'!H22/'income statement'!H$5</f>
        <v>0.10205463322736372</v>
      </c>
    </row>
    <row r="23" spans="1:9" ht="15.75" thickTop="1" x14ac:dyDescent="0.25">
      <c r="C23" s="40"/>
      <c r="D23" s="40"/>
      <c r="E23" s="40"/>
      <c r="F23" s="40"/>
      <c r="G23" s="40"/>
    </row>
  </sheetData>
  <mergeCells count="3">
    <mergeCell ref="A1:I1"/>
    <mergeCell ref="A2:W2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D1FA-762B-4FE4-8C8A-9FE2B33356EC}">
  <sheetPr codeName="Sheet2"/>
  <dimension ref="A1:Z22"/>
  <sheetViews>
    <sheetView showGridLines="0" zoomScale="98" zoomScaleNormal="98" workbookViewId="0">
      <selection activeCell="C16" sqref="C16"/>
    </sheetView>
  </sheetViews>
  <sheetFormatPr defaultRowHeight="15" x14ac:dyDescent="0.25"/>
  <cols>
    <col min="1" max="1" width="41.42578125" bestFit="1" customWidth="1"/>
    <col min="2" max="2" width="3.140625" customWidth="1"/>
    <col min="3" max="5" width="12.28515625" bestFit="1" customWidth="1"/>
    <col min="6" max="7" width="11.5703125" bestFit="1" customWidth="1"/>
    <col min="8" max="8" width="11.5703125" customWidth="1"/>
    <col min="9" max="9" width="6.140625" customWidth="1"/>
    <col min="10" max="10" width="25.7109375" bestFit="1" customWidth="1"/>
  </cols>
  <sheetData>
    <row r="1" spans="1:26" ht="18.75" x14ac:dyDescent="0.4">
      <c r="A1" s="85" t="s">
        <v>72</v>
      </c>
      <c r="B1" s="85"/>
      <c r="C1" s="85"/>
      <c r="D1" s="85"/>
      <c r="E1" s="85"/>
      <c r="F1" s="85"/>
      <c r="G1" s="85"/>
      <c r="H1" s="85"/>
      <c r="I1" s="85"/>
      <c r="J1" s="8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86" t="s">
        <v>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</row>
    <row r="3" spans="1:26" x14ac:dyDescent="0.25">
      <c r="A3" s="87" t="s">
        <v>1</v>
      </c>
      <c r="B3" s="87"/>
      <c r="C3" s="87"/>
      <c r="D3" s="87"/>
      <c r="E3" s="87"/>
      <c r="F3" s="87"/>
    </row>
    <row r="4" spans="1:26" x14ac:dyDescent="0.25">
      <c r="A4" s="71" t="s">
        <v>2</v>
      </c>
      <c r="B4" s="19"/>
      <c r="C4" s="21">
        <v>41729</v>
      </c>
      <c r="D4" s="21">
        <v>42094</v>
      </c>
      <c r="E4" s="21">
        <v>42460</v>
      </c>
      <c r="F4" s="21">
        <v>42825</v>
      </c>
      <c r="G4" s="21">
        <v>43190</v>
      </c>
      <c r="H4" s="21">
        <v>43555</v>
      </c>
      <c r="I4" s="13"/>
    </row>
    <row r="5" spans="1:26" ht="16.5" x14ac:dyDescent="0.3">
      <c r="A5" s="7" t="s">
        <v>3</v>
      </c>
      <c r="B5" s="73"/>
      <c r="C5" s="74">
        <v>27005</v>
      </c>
      <c r="D5" s="74">
        <v>29021</v>
      </c>
      <c r="E5" s="74">
        <v>30715</v>
      </c>
      <c r="F5" s="72">
        <v>30984</v>
      </c>
      <c r="G5" s="72">
        <v>33101</v>
      </c>
      <c r="H5" s="72">
        <v>33972</v>
      </c>
      <c r="I5" s="24"/>
      <c r="J5" s="31" t="s">
        <v>21</v>
      </c>
    </row>
    <row r="6" spans="1:26" ht="16.5" x14ac:dyDescent="0.3">
      <c r="A6" s="3" t="s">
        <v>4</v>
      </c>
      <c r="B6" s="3"/>
      <c r="C6" s="42"/>
      <c r="D6" s="43"/>
      <c r="E6" s="43"/>
      <c r="F6" s="44"/>
      <c r="G6" s="44"/>
      <c r="H6" s="44"/>
      <c r="I6" s="4"/>
      <c r="J6" s="33"/>
    </row>
    <row r="7" spans="1:26" ht="16.5" x14ac:dyDescent="0.3">
      <c r="A7" s="3" t="s">
        <v>5</v>
      </c>
      <c r="B7" s="3"/>
      <c r="C7" s="42">
        <v>-18230</v>
      </c>
      <c r="D7" s="42">
        <v>-19715</v>
      </c>
      <c r="E7" s="42">
        <v>-19308</v>
      </c>
      <c r="F7" s="45">
        <v>-19116</v>
      </c>
      <c r="G7" s="45">
        <v>-21866</v>
      </c>
      <c r="H7" s="45">
        <v>-23444</v>
      </c>
      <c r="I7" s="5"/>
      <c r="J7" s="31" t="s">
        <v>21</v>
      </c>
    </row>
    <row r="8" spans="1:26" ht="16.5" x14ac:dyDescent="0.3">
      <c r="A8" s="3" t="s">
        <v>6</v>
      </c>
      <c r="B8" s="3"/>
      <c r="C8" s="42">
        <v>-1880</v>
      </c>
      <c r="D8" s="42">
        <v>-1718</v>
      </c>
      <c r="E8" s="42">
        <v>-2258</v>
      </c>
      <c r="F8" s="45">
        <v>-2373</v>
      </c>
      <c r="G8" s="45">
        <v>-643</v>
      </c>
      <c r="H8" s="45">
        <v>-1</v>
      </c>
      <c r="I8" s="5"/>
      <c r="J8" s="31" t="s">
        <v>21</v>
      </c>
    </row>
    <row r="9" spans="1:26" ht="16.5" x14ac:dyDescent="0.3">
      <c r="A9" s="3" t="s">
        <v>7</v>
      </c>
      <c r="B9" s="3"/>
      <c r="C9" s="42">
        <v>-930</v>
      </c>
      <c r="D9" s="42">
        <v>-1179</v>
      </c>
      <c r="E9" s="42">
        <v>-1339</v>
      </c>
      <c r="F9" s="45">
        <v>-1432</v>
      </c>
      <c r="G9" s="45">
        <v>-1584</v>
      </c>
      <c r="H9" s="45">
        <v>-1778</v>
      </c>
      <c r="I9" s="5"/>
      <c r="J9" s="31" t="s">
        <v>21</v>
      </c>
    </row>
    <row r="10" spans="1:26" ht="16.5" x14ac:dyDescent="0.3">
      <c r="A10" s="3" t="s">
        <v>8</v>
      </c>
      <c r="B10" s="3"/>
      <c r="C10" s="42">
        <v>-2426</v>
      </c>
      <c r="D10" s="42">
        <v>-2913</v>
      </c>
      <c r="E10" s="42">
        <v>-3412</v>
      </c>
      <c r="F10" s="45">
        <v>-3486</v>
      </c>
      <c r="G10" s="45">
        <v>-3664</v>
      </c>
      <c r="H10" s="45">
        <v>-3730</v>
      </c>
      <c r="I10" s="5"/>
      <c r="J10" s="31" t="s">
        <v>21</v>
      </c>
    </row>
    <row r="11" spans="1:26" ht="16.5" x14ac:dyDescent="0.3">
      <c r="A11" s="7" t="s">
        <v>9</v>
      </c>
      <c r="B11" s="7"/>
      <c r="C11" s="75">
        <v>23466</v>
      </c>
      <c r="D11" s="75">
        <v>25524</v>
      </c>
      <c r="E11" s="75">
        <v>26318</v>
      </c>
      <c r="F11" s="76">
        <v>26408</v>
      </c>
      <c r="G11" s="76">
        <v>27776</v>
      </c>
      <c r="H11" s="76">
        <v>28954</v>
      </c>
      <c r="I11" s="5"/>
      <c r="J11" s="33"/>
    </row>
    <row r="12" spans="1:26" ht="16.5" x14ac:dyDescent="0.3">
      <c r="A12" s="7" t="s">
        <v>10</v>
      </c>
      <c r="B12" s="7"/>
      <c r="C12" s="41">
        <f>C5-C11</f>
        <v>3539</v>
      </c>
      <c r="D12" s="41">
        <f t="shared" ref="D12:H12" si="0">D5-D11</f>
        <v>3497</v>
      </c>
      <c r="E12" s="41">
        <f t="shared" si="0"/>
        <v>4397</v>
      </c>
      <c r="F12" s="41">
        <f t="shared" si="0"/>
        <v>4576</v>
      </c>
      <c r="G12" s="41">
        <f t="shared" si="0"/>
        <v>5325</v>
      </c>
      <c r="H12" s="41">
        <f t="shared" si="0"/>
        <v>5018</v>
      </c>
      <c r="I12" s="25"/>
      <c r="J12" s="33"/>
    </row>
    <row r="13" spans="1:26" ht="16.5" x14ac:dyDescent="0.3">
      <c r="A13" s="3" t="s">
        <v>11</v>
      </c>
      <c r="B13" s="7"/>
      <c r="C13" s="75">
        <v>-1107</v>
      </c>
      <c r="D13" s="75">
        <v>-540</v>
      </c>
      <c r="E13" s="75">
        <v>-443</v>
      </c>
      <c r="F13" s="76">
        <v>502</v>
      </c>
      <c r="G13" s="76">
        <v>-575</v>
      </c>
      <c r="H13" s="76">
        <v>-624</v>
      </c>
      <c r="I13" s="9"/>
      <c r="J13" s="31" t="s">
        <v>21</v>
      </c>
    </row>
    <row r="14" spans="1:26" ht="16.5" x14ac:dyDescent="0.3">
      <c r="A14" s="7" t="s">
        <v>12</v>
      </c>
      <c r="B14" s="7"/>
      <c r="C14" s="41">
        <f>SUM(C12:C13)</f>
        <v>2432</v>
      </c>
      <c r="D14" s="41">
        <f t="shared" ref="D14:E14" si="1">SUM(D12:D13)</f>
        <v>2957</v>
      </c>
      <c r="E14" s="41">
        <f t="shared" si="1"/>
        <v>3954</v>
      </c>
      <c r="F14" s="8">
        <f>F12-F13</f>
        <v>4074</v>
      </c>
      <c r="G14" s="8">
        <f>SUM(G12:G13)</f>
        <v>4750</v>
      </c>
      <c r="H14" s="8">
        <f>SUM(H12:H13)</f>
        <v>4394</v>
      </c>
      <c r="I14" s="25"/>
      <c r="J14" s="33"/>
    </row>
    <row r="15" spans="1:26" ht="16.5" x14ac:dyDescent="0.3">
      <c r="A15" s="3" t="s">
        <v>13</v>
      </c>
      <c r="B15" s="3"/>
      <c r="C15" s="43">
        <v>444</v>
      </c>
      <c r="D15" s="43">
        <v>347</v>
      </c>
      <c r="E15" s="43">
        <v>413</v>
      </c>
      <c r="F15" s="44">
        <v>522</v>
      </c>
      <c r="G15" s="44">
        <v>523</v>
      </c>
      <c r="H15" s="44">
        <v>687</v>
      </c>
      <c r="I15" s="6"/>
      <c r="J15" s="31" t="s">
        <v>22</v>
      </c>
    </row>
    <row r="16" spans="1:26" ht="16.5" x14ac:dyDescent="0.3">
      <c r="A16" s="3" t="s">
        <v>14</v>
      </c>
      <c r="B16" s="3"/>
      <c r="C16" s="42">
        <v>-12</v>
      </c>
      <c r="D16" s="42">
        <v>-12</v>
      </c>
      <c r="E16" s="42">
        <v>-15</v>
      </c>
      <c r="F16" s="45">
        <v>-27</v>
      </c>
      <c r="G16" s="45">
        <v>-31</v>
      </c>
      <c r="H16" s="45">
        <v>-37</v>
      </c>
      <c r="I16" s="9"/>
      <c r="J16" s="31" t="s">
        <v>22</v>
      </c>
    </row>
    <row r="17" spans="1:10" ht="16.5" x14ac:dyDescent="0.3">
      <c r="A17" s="3" t="s">
        <v>15</v>
      </c>
      <c r="B17" s="3"/>
      <c r="C17" s="42">
        <v>-4</v>
      </c>
      <c r="D17" s="43">
        <v>15</v>
      </c>
      <c r="E17" s="43">
        <v>34</v>
      </c>
      <c r="F17" s="44">
        <v>55</v>
      </c>
      <c r="G17" s="44">
        <v>50</v>
      </c>
      <c r="H17" s="44">
        <v>61</v>
      </c>
      <c r="I17" s="6"/>
      <c r="J17" s="31" t="s">
        <v>22</v>
      </c>
    </row>
    <row r="18" spans="1:10" ht="16.5" x14ac:dyDescent="0.3">
      <c r="A18" s="3" t="s">
        <v>16</v>
      </c>
      <c r="B18" s="3"/>
      <c r="C18" s="43"/>
      <c r="D18" s="43"/>
      <c r="E18" s="43"/>
      <c r="F18" s="44">
        <v>262</v>
      </c>
      <c r="G18" s="35" t="s">
        <v>20</v>
      </c>
      <c r="H18" s="35" t="s">
        <v>20</v>
      </c>
      <c r="I18" s="10"/>
      <c r="J18" s="31" t="s">
        <v>22</v>
      </c>
    </row>
    <row r="19" spans="1:10" ht="16.5" x14ac:dyDescent="0.3">
      <c r="A19" s="3" t="s">
        <v>79</v>
      </c>
      <c r="B19" s="3"/>
      <c r="C19" s="43">
        <v>0</v>
      </c>
      <c r="D19" s="43">
        <v>1</v>
      </c>
      <c r="E19" s="43">
        <v>4</v>
      </c>
      <c r="F19" s="44"/>
      <c r="G19" s="35"/>
      <c r="H19" s="35" t="s">
        <v>20</v>
      </c>
      <c r="I19" s="10"/>
      <c r="J19" s="31"/>
    </row>
    <row r="20" spans="1:10" ht="16.5" x14ac:dyDescent="0.3">
      <c r="A20" s="11" t="s">
        <v>17</v>
      </c>
      <c r="B20" s="7"/>
      <c r="C20" s="41">
        <f>SUM(C14:C19)</f>
        <v>2860</v>
      </c>
      <c r="D20" s="41">
        <f t="shared" ref="D20:E20" si="2">SUM(D14:D19)</f>
        <v>3308</v>
      </c>
      <c r="E20" s="41">
        <f t="shared" si="2"/>
        <v>4390</v>
      </c>
      <c r="F20" s="8">
        <f>SUM(F14:F18)</f>
        <v>4886</v>
      </c>
      <c r="G20" s="8">
        <f>SUM(G14:G17)</f>
        <v>5292</v>
      </c>
      <c r="H20" s="8">
        <f>SUM(H14:H17)</f>
        <v>5105</v>
      </c>
      <c r="I20" s="8"/>
      <c r="J20" s="33"/>
    </row>
    <row r="21" spans="1:10" ht="16.5" x14ac:dyDescent="0.3">
      <c r="A21" s="11" t="s">
        <v>18</v>
      </c>
      <c r="B21" s="77"/>
      <c r="C21" s="62">
        <v>-758</v>
      </c>
      <c r="D21" s="62">
        <v>-943</v>
      </c>
      <c r="E21" s="62">
        <v>-1275</v>
      </c>
      <c r="F21" s="63">
        <v>-1339</v>
      </c>
      <c r="G21" s="63">
        <v>-1570</v>
      </c>
      <c r="H21" s="63">
        <v>-1638</v>
      </c>
      <c r="I21" s="26"/>
      <c r="J21" s="31" t="s">
        <v>21</v>
      </c>
    </row>
    <row r="22" spans="1:10" ht="15.75" thickBot="1" x14ac:dyDescent="0.3">
      <c r="A22" s="78" t="s">
        <v>19</v>
      </c>
      <c r="B22" s="78"/>
      <c r="C22" s="79">
        <f>SUM(C20:C21)</f>
        <v>2102</v>
      </c>
      <c r="D22" s="79">
        <f t="shared" ref="D22:E22" si="3">SUM(D20:D21)</f>
        <v>2365</v>
      </c>
      <c r="E22" s="79">
        <f t="shared" si="3"/>
        <v>3115</v>
      </c>
      <c r="F22" s="80">
        <f>SUM(F20:F21)</f>
        <v>3547</v>
      </c>
      <c r="G22" s="80">
        <f>SUM(G20:G21)</f>
        <v>3722</v>
      </c>
      <c r="H22" s="80">
        <f>SUM(H20:H21)</f>
        <v>3467</v>
      </c>
      <c r="I22" s="25"/>
    </row>
  </sheetData>
  <mergeCells count="3">
    <mergeCell ref="A2:X2"/>
    <mergeCell ref="A3:F3"/>
    <mergeCell ref="A1:J1"/>
  </mergeCells>
  <pageMargins left="0.7" right="0.7" top="0.75" bottom="0.75" header="0.3" footer="0.3"/>
  <pageSetup paperSize="9" orientation="portrait" r:id="rId1"/>
  <ignoredErrors>
    <ignoredError sqref="F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CB77-100E-43FB-A70C-1E5540B1E647}">
  <sheetPr codeName="Sheet3"/>
  <dimension ref="A1:V56"/>
  <sheetViews>
    <sheetView showGridLines="0" zoomScale="89" zoomScaleNormal="89" workbookViewId="0">
      <selection activeCell="C5" sqref="C5"/>
    </sheetView>
  </sheetViews>
  <sheetFormatPr defaultRowHeight="15" x14ac:dyDescent="0.25"/>
  <cols>
    <col min="1" max="1" width="40.85546875" bestFit="1" customWidth="1"/>
    <col min="3" max="3" width="10.5703125" bestFit="1" customWidth="1"/>
    <col min="4" max="7" width="11.28515625" bestFit="1" customWidth="1"/>
    <col min="8" max="8" width="10.85546875" bestFit="1" customWidth="1"/>
    <col min="9" max="9" width="25.7109375" bestFit="1" customWidth="1"/>
  </cols>
  <sheetData>
    <row r="1" spans="1:22" ht="18.75" x14ac:dyDescent="0.4">
      <c r="A1" s="85" t="s">
        <v>72</v>
      </c>
      <c r="B1" s="85"/>
      <c r="C1" s="85"/>
      <c r="D1" s="85"/>
      <c r="E1" s="85"/>
      <c r="F1" s="85"/>
      <c r="G1" s="85"/>
      <c r="H1" s="85"/>
      <c r="I1" s="8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86" t="s">
        <v>23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</row>
    <row r="3" spans="1:22" x14ac:dyDescent="0.25">
      <c r="A3" s="86" t="s">
        <v>1</v>
      </c>
      <c r="B3" s="88"/>
      <c r="C3" s="88"/>
      <c r="D3" s="88"/>
      <c r="E3" s="88"/>
      <c r="F3" s="88"/>
    </row>
    <row r="5" spans="1:22" x14ac:dyDescent="0.25">
      <c r="A5" s="19" t="s">
        <v>24</v>
      </c>
      <c r="B5" s="20"/>
      <c r="C5" s="21">
        <v>41729</v>
      </c>
      <c r="D5" s="21">
        <v>42094</v>
      </c>
      <c r="E5" s="21">
        <v>42460</v>
      </c>
      <c r="F5" s="21">
        <v>42825</v>
      </c>
      <c r="G5" s="21">
        <v>43190</v>
      </c>
      <c r="H5" s="21">
        <v>43555</v>
      </c>
    </row>
    <row r="6" spans="1:22" x14ac:dyDescent="0.25">
      <c r="A6" s="15" t="s">
        <v>25</v>
      </c>
    </row>
    <row r="7" spans="1:22" x14ac:dyDescent="0.25">
      <c r="A7" s="15" t="s">
        <v>27</v>
      </c>
    </row>
    <row r="8" spans="1:22" ht="16.5" x14ac:dyDescent="0.3">
      <c r="A8" s="3" t="s">
        <v>26</v>
      </c>
      <c r="C8" s="48">
        <f>'balance sheet'!C8/'balance sheet'!C$32</f>
        <v>0.18741355463347165</v>
      </c>
      <c r="D8" s="48">
        <f>'balance sheet'!D8/'balance sheet'!D$32</f>
        <v>0.26759902384081097</v>
      </c>
      <c r="E8" s="48">
        <f>'balance sheet'!E8/'balance sheet'!E$32</f>
        <v>0.3083175505050505</v>
      </c>
      <c r="F8" s="48">
        <f>'balance sheet'!F8/'balance sheet'!F$32</f>
        <v>0.293558688880036</v>
      </c>
      <c r="G8" s="48">
        <f>'balance sheet'!G8/'balance sheet'!G$32</f>
        <v>0.27426725451086109</v>
      </c>
      <c r="H8" s="48">
        <f>'balance sheet'!H8/'balance sheet'!H$32</f>
        <v>0.25899105622956581</v>
      </c>
      <c r="I8" s="31" t="s">
        <v>37</v>
      </c>
    </row>
    <row r="9" spans="1:22" ht="16.5" x14ac:dyDescent="0.3">
      <c r="A9" s="3" t="s">
        <v>70</v>
      </c>
      <c r="C9" s="48">
        <f>'balance sheet'!C9/'balance sheet'!C$32</f>
        <v>8.4469472436277421E-2</v>
      </c>
      <c r="D9" s="48">
        <f>'balance sheet'!D9/'balance sheet'!D$32</f>
        <v>2.956636005256242E-2</v>
      </c>
      <c r="E9" s="48">
        <f>'balance sheet'!E9/'balance sheet'!E$32</f>
        <v>2.6120580808080808E-2</v>
      </c>
      <c r="F9" s="48">
        <f>'balance sheet'!F9/'balance sheet'!F$32</f>
        <v>2.5241475695691639E-2</v>
      </c>
      <c r="G9" s="48">
        <f>'balance sheet'!G9/'balance sheet'!G$32</f>
        <v>1.3738079772833089E-2</v>
      </c>
      <c r="H9" s="48">
        <f>'balance sheet'!H9/'balance sheet'!H$32</f>
        <v>2.0800345861817393E-2</v>
      </c>
      <c r="I9" s="31" t="s">
        <v>37</v>
      </c>
    </row>
    <row r="10" spans="1:22" ht="16.5" x14ac:dyDescent="0.3">
      <c r="A10" s="3" t="s">
        <v>28</v>
      </c>
      <c r="C10" s="48">
        <f>'balance sheet'!C10/'balance sheet'!C$32</f>
        <v>3.4578146611341634E-2</v>
      </c>
      <c r="D10" s="48">
        <f>'balance sheet'!D10/'balance sheet'!D$32</f>
        <v>9.4800075089168396E-3</v>
      </c>
      <c r="E10" s="48">
        <f>'balance sheet'!E10/'balance sheet'!E$32</f>
        <v>1.0179924242424242E-2</v>
      </c>
      <c r="F10" s="48">
        <f>'balance sheet'!F10/'balance sheet'!F$32</f>
        <v>6.7789525930473278E-3</v>
      </c>
      <c r="G10" s="48">
        <f>'balance sheet'!G10/'balance sheet'!G$32</f>
        <v>1.0898493409745413E-2</v>
      </c>
      <c r="H10" s="48">
        <f>'balance sheet'!H10/'balance sheet'!H$32</f>
        <v>8.6411413439974067E-3</v>
      </c>
      <c r="I10" s="31" t="s">
        <v>37</v>
      </c>
    </row>
    <row r="11" spans="1:22" ht="16.5" x14ac:dyDescent="0.3">
      <c r="A11" s="3" t="s">
        <v>29</v>
      </c>
      <c r="C11" s="48">
        <v>0</v>
      </c>
      <c r="D11" s="48">
        <f>'balance sheet'!D11/'balance sheet'!D$32</f>
        <v>3.7920030035667358E-2</v>
      </c>
      <c r="E11" s="48">
        <f>'balance sheet'!E11/'balance sheet'!E$32</f>
        <v>2.5489267676767676E-2</v>
      </c>
      <c r="F11" s="48">
        <f>'balance sheet'!F11/'balance sheet'!F$32</f>
        <v>1.2702372633407564E-2</v>
      </c>
      <c r="G11" s="48">
        <f>'balance sheet'!G11/'balance sheet'!G$32</f>
        <v>6.6965953704395606E-3</v>
      </c>
      <c r="H11" s="48">
        <f>'balance sheet'!H11/'balance sheet'!H$32</f>
        <v>1.0159690886000702E-2</v>
      </c>
      <c r="I11" s="31" t="s">
        <v>37</v>
      </c>
    </row>
    <row r="12" spans="1:22" ht="16.5" x14ac:dyDescent="0.3">
      <c r="A12" s="3" t="s">
        <v>30</v>
      </c>
      <c r="C12" s="48">
        <v>0</v>
      </c>
      <c r="D12" s="48">
        <f>'balance sheet'!D12/'balance sheet'!D$32</f>
        <v>6.6453914022902197E-2</v>
      </c>
      <c r="E12" s="48">
        <f>'balance sheet'!E12/'balance sheet'!E$32</f>
        <v>7.4968434343434337E-2</v>
      </c>
      <c r="F12" s="48">
        <f>'balance sheet'!F12/'balance sheet'!F$32</f>
        <v>6.6966647292010892E-2</v>
      </c>
      <c r="G12" s="48">
        <f>'balance sheet'!G12/'balance sheet'!G$32</f>
        <v>6.665555357563703E-2</v>
      </c>
      <c r="H12" s="48">
        <f>'balance sheet'!H12/'balance sheet'!H$32</f>
        <v>9.2188386608662756E-2</v>
      </c>
      <c r="I12" s="31" t="s">
        <v>22</v>
      </c>
    </row>
    <row r="13" spans="1:22" ht="16.5" x14ac:dyDescent="0.3">
      <c r="A13" s="3" t="s">
        <v>31</v>
      </c>
      <c r="C13" s="48">
        <f>'balance sheet'!C13/'balance sheet'!C$32</f>
        <v>8.6741750642165577E-2</v>
      </c>
      <c r="D13" s="48">
        <f>'balance sheet'!D13/'balance sheet'!D$32</f>
        <v>7.7060259057630934E-2</v>
      </c>
      <c r="E13" s="48">
        <f>'balance sheet'!E13/'balance sheet'!E$32</f>
        <v>7.4573863636363633E-2</v>
      </c>
      <c r="F13" s="48">
        <f>'balance sheet'!F13/'balance sheet'!F$32</f>
        <v>3.2451459956504981E-2</v>
      </c>
      <c r="G13" s="48">
        <f>'balance sheet'!G13/'balance sheet'!G$32</f>
        <v>5.2796762641620053E-2</v>
      </c>
      <c r="H13" s="48">
        <f>'balance sheet'!H13/'balance sheet'!H$32</f>
        <v>6.6691885757518443E-2</v>
      </c>
      <c r="I13" s="31" t="s">
        <v>22</v>
      </c>
    </row>
    <row r="14" spans="1:22" ht="16.5" x14ac:dyDescent="0.3">
      <c r="A14" s="3" t="s">
        <v>32</v>
      </c>
      <c r="C14" s="48">
        <f>'balance sheet'!C14/'balance sheet'!C$32</f>
        <v>4.7125074096028452E-2</v>
      </c>
      <c r="D14" s="48">
        <v>0</v>
      </c>
      <c r="E14" s="48">
        <v>0</v>
      </c>
      <c r="F14" s="48">
        <f>'balance sheet'!F14/'balance sheet'!F$32</f>
        <v>1.5086108371810529E-3</v>
      </c>
      <c r="G14" s="48">
        <f>'balance sheet'!G14/'balance sheet'!G$32</f>
        <v>1.2818375687622507E-3</v>
      </c>
      <c r="H14" s="48">
        <f>'balance sheet'!H14/'balance sheet'!H$32</f>
        <v>3.2478586289821395E-3</v>
      </c>
      <c r="I14" s="31" t="s">
        <v>22</v>
      </c>
    </row>
    <row r="15" spans="1:22" ht="16.5" x14ac:dyDescent="0.3">
      <c r="A15" s="3" t="s">
        <v>33</v>
      </c>
      <c r="C15" s="48">
        <v>0</v>
      </c>
      <c r="D15" s="48">
        <v>0</v>
      </c>
      <c r="E15" s="48">
        <v>0</v>
      </c>
      <c r="F15" s="48">
        <f>'balance sheet'!F15/'balance sheet'!F$32</f>
        <v>1.6588188426146639E-3</v>
      </c>
      <c r="G15" s="48">
        <f>'balance sheet'!G15/'balance sheet'!G$32</f>
        <v>1.3565635256856106E-3</v>
      </c>
      <c r="H15" s="48">
        <f>'balance sheet'!H15/'balance sheet'!H$32</f>
        <v>1.8265827231214028E-3</v>
      </c>
      <c r="I15" s="31" t="s">
        <v>37</v>
      </c>
    </row>
    <row r="16" spans="1:22" ht="16.5" x14ac:dyDescent="0.3">
      <c r="A16" s="3" t="s">
        <v>77</v>
      </c>
      <c r="C16" s="48">
        <f>'balance sheet'!C16/'balance sheet'!C$32</f>
        <v>1.0472238688006322E-2</v>
      </c>
      <c r="D16" s="48">
        <f>'balance sheet'!D16/'balance sheet'!D$32</f>
        <v>6.9457480758400598E-3</v>
      </c>
      <c r="E16" s="48">
        <v>0</v>
      </c>
      <c r="F16" s="48">
        <f>'balance sheet'!F16/'balance sheet'!F$32</f>
        <v>0</v>
      </c>
      <c r="G16" s="48">
        <f>'balance sheet'!G16/'balance sheet'!G$32</f>
        <v>0</v>
      </c>
      <c r="H16" s="48">
        <v>0</v>
      </c>
      <c r="I16" s="31" t="s">
        <v>22</v>
      </c>
    </row>
    <row r="17" spans="1:9" ht="16.5" x14ac:dyDescent="0.3">
      <c r="A17" s="3" t="s">
        <v>34</v>
      </c>
      <c r="C17" s="48">
        <v>0</v>
      </c>
      <c r="D17" s="48">
        <v>0</v>
      </c>
      <c r="E17" s="48">
        <v>0</v>
      </c>
      <c r="F17" s="48">
        <f>'balance sheet'!F17/'balance sheet'!F$32</f>
        <v>2.1714852959424245E-2</v>
      </c>
      <c r="G17" s="48">
        <f>'balance sheet'!G17/'balance sheet'!G$32</f>
        <v>2.2676453850973447E-2</v>
      </c>
      <c r="H17" s="48">
        <f>'balance sheet'!H17/'balance sheet'!H$32</f>
        <v>4.6237401713096815E-2</v>
      </c>
      <c r="I17" s="31" t="s">
        <v>37</v>
      </c>
    </row>
    <row r="18" spans="1:9" ht="16.5" x14ac:dyDescent="0.3">
      <c r="A18" s="3" t="s">
        <v>35</v>
      </c>
      <c r="C18" s="48">
        <v>0</v>
      </c>
      <c r="D18" s="48">
        <v>0</v>
      </c>
      <c r="E18" s="48">
        <v>0</v>
      </c>
      <c r="F18" s="48">
        <f>'balance sheet'!F18/'balance sheet'!F$32</f>
        <v>4.2998674251082468E-2</v>
      </c>
      <c r="G18" s="48">
        <f>'balance sheet'!G18/'balance sheet'!G$32</f>
        <v>3.2166650380240157E-2</v>
      </c>
      <c r="H18" s="48">
        <f>'balance sheet'!H18/'balance sheet'!H$32</f>
        <v>3.6558674916912101E-2</v>
      </c>
      <c r="I18" s="31" t="s">
        <v>37</v>
      </c>
    </row>
    <row r="19" spans="1:9" ht="16.5" x14ac:dyDescent="0.3">
      <c r="A19" s="7" t="s">
        <v>36</v>
      </c>
      <c r="B19" s="27"/>
      <c r="C19" s="49">
        <f>'balance sheet'!C19/'balance sheet'!C$32</f>
        <v>0.45080023710729106</v>
      </c>
      <c r="D19" s="49">
        <f>'balance sheet'!D19/'balance sheet'!D$32</f>
        <v>0.49502534259433079</v>
      </c>
      <c r="E19" s="49">
        <f>'balance sheet'!E19/'balance sheet'!E$32</f>
        <v>0.51964962121212122</v>
      </c>
      <c r="F19" s="49">
        <f>'balance sheet'!F19/'balance sheet'!F$32</f>
        <v>0.50558055394100088</v>
      </c>
      <c r="G19" s="49">
        <f>'balance sheet'!G19/'balance sheet'!G$32</f>
        <v>0.48253424460679772</v>
      </c>
      <c r="H19" s="49">
        <f>'balance sheet'!H19/'balance sheet'!H$32</f>
        <v>0.54534302466967488</v>
      </c>
      <c r="I19" s="32"/>
    </row>
    <row r="20" spans="1:9" ht="16.5" x14ac:dyDescent="0.3">
      <c r="A20" s="3"/>
      <c r="C20" s="17"/>
      <c r="D20" s="17"/>
      <c r="E20" s="17"/>
      <c r="F20" s="17"/>
      <c r="G20" s="17"/>
      <c r="H20" s="17"/>
      <c r="I20" s="32"/>
    </row>
    <row r="21" spans="1:9" ht="16.5" x14ac:dyDescent="0.3">
      <c r="A21" s="15" t="s">
        <v>38</v>
      </c>
      <c r="C21" s="35"/>
      <c r="D21" s="35"/>
      <c r="E21" s="35"/>
      <c r="F21" s="17"/>
      <c r="G21" s="17"/>
      <c r="H21" s="17"/>
      <c r="I21" s="32"/>
    </row>
    <row r="22" spans="1:9" ht="16.5" x14ac:dyDescent="0.3">
      <c r="A22" s="3" t="s">
        <v>39</v>
      </c>
      <c r="C22" s="48">
        <f>'balance sheet'!C22/'balance sheet'!C$32</f>
        <v>6.6192452084568268E-2</v>
      </c>
      <c r="D22" s="48">
        <f>'balance sheet'!D22/'balance sheet'!D$32</f>
        <v>8.0814717477003944E-2</v>
      </c>
      <c r="E22" s="48">
        <f>'balance sheet'!E22/'balance sheet'!E$32</f>
        <v>6.013257575757576E-2</v>
      </c>
      <c r="F22" s="48">
        <f>'balance sheet'!F22/'balance sheet'!F$32</f>
        <v>4.6277127239242162E-2</v>
      </c>
      <c r="G22" s="48">
        <f>'balance sheet'!G22/'balance sheet'!G$32</f>
        <v>5.5337445177014291E-2</v>
      </c>
      <c r="H22" s="48">
        <f>'balance sheet'!H22/'balance sheet'!H$32</f>
        <v>6.7524115755627015E-2</v>
      </c>
      <c r="I22" s="31" t="s">
        <v>37</v>
      </c>
    </row>
    <row r="23" spans="1:9" ht="16.5" x14ac:dyDescent="0.3">
      <c r="A23" s="3" t="s">
        <v>40</v>
      </c>
      <c r="C23" s="48">
        <f>'balance sheet'!C23/'balance sheet'!$C$32</f>
        <v>0.32365145228215769</v>
      </c>
      <c r="D23" s="48">
        <f>'balance sheet'!D23/'balance sheet'!D$32</f>
        <v>0.21559977473249484</v>
      </c>
      <c r="E23" s="48">
        <f>'balance sheet'!E23/'balance sheet'!E$32</f>
        <v>0.25639204545454547</v>
      </c>
      <c r="F23" s="48">
        <f>'balance sheet'!F23/'balance sheet'!F$32</f>
        <v>0.29676530325690137</v>
      </c>
      <c r="G23" s="48">
        <f>'balance sheet'!G23/'balance sheet'!G$32</f>
        <v>0.32138484442630583</v>
      </c>
      <c r="H23" s="48">
        <f>'balance sheet'!H23/'balance sheet'!H$32</f>
        <v>0.17152044097381719</v>
      </c>
      <c r="I23" s="31" t="s">
        <v>71</v>
      </c>
    </row>
    <row r="24" spans="1:9" ht="16.5" x14ac:dyDescent="0.3">
      <c r="A24" s="3" t="s">
        <v>41</v>
      </c>
      <c r="C24" s="48">
        <f>'balance sheet'!C24/'balance sheet'!$C$32</f>
        <v>9.0989922940130405E-2</v>
      </c>
      <c r="D24" s="48">
        <f>'balance sheet'!D24/'balance sheet'!D$32</f>
        <v>0.1287779237844941</v>
      </c>
      <c r="E24" s="48">
        <f>'balance sheet'!E24/'balance sheet'!E$32</f>
        <v>0.1011679292929293</v>
      </c>
      <c r="F24" s="48">
        <f>'balance sheet'!F24/'balance sheet'!F$32</f>
        <v>0.10134468818777305</v>
      </c>
      <c r="G24" s="48">
        <f>'balance sheet'!G24/'balance sheet'!G$32</f>
        <v>8.2026108099718914E-2</v>
      </c>
      <c r="H24" s="48">
        <f>'balance sheet'!H24/'balance sheet'!H$32</f>
        <v>0.14834769920830068</v>
      </c>
      <c r="I24" s="31" t="s">
        <v>37</v>
      </c>
    </row>
    <row r="25" spans="1:9" ht="16.5" x14ac:dyDescent="0.3">
      <c r="A25" s="3" t="s">
        <v>42</v>
      </c>
      <c r="C25" s="48">
        <f>'balance sheet'!C25/'balance sheet'!$C$32</f>
        <v>1.1855364552459988E-2</v>
      </c>
      <c r="D25" s="48">
        <f>'balance sheet'!D25/'balance sheet'!D$32</f>
        <v>2.0274075464614228E-2</v>
      </c>
      <c r="E25" s="48">
        <f>'balance sheet'!E25/'balance sheet'!E$32</f>
        <v>1.4125631313131314E-2</v>
      </c>
      <c r="F25" s="48">
        <f>'balance sheet'!F25/'balance sheet'!F$32</f>
        <v>4.8393100881002592E-3</v>
      </c>
      <c r="G25" s="48">
        <f>'balance sheet'!G25/'balance sheet'!G$32</f>
        <v>7.507084595531387E-3</v>
      </c>
      <c r="H25" s="48">
        <f>'balance sheet'!H25/'balance sheet'!H$32</f>
        <v>1.1245913156259288E-2</v>
      </c>
      <c r="I25" s="31" t="s">
        <v>37</v>
      </c>
    </row>
    <row r="26" spans="1:9" ht="16.5" x14ac:dyDescent="0.3">
      <c r="A26" s="3" t="s">
        <v>43</v>
      </c>
      <c r="C26" s="48">
        <v>0</v>
      </c>
      <c r="D26" s="48">
        <v>0</v>
      </c>
      <c r="E26" s="48">
        <v>0</v>
      </c>
      <c r="F26" s="48">
        <f>'balance sheet'!F26/'balance sheet'!F$32</f>
        <v>7.9218395909117605E-3</v>
      </c>
      <c r="G26" s="48">
        <f>'balance sheet'!G26/'balance sheet'!G$32</f>
        <v>6.1505210698457767E-3</v>
      </c>
      <c r="H26" s="48">
        <f>'balance sheet'!H26/'balance sheet'!H$32</f>
        <v>5.177119079142911E-3</v>
      </c>
      <c r="I26" s="31" t="s">
        <v>37</v>
      </c>
    </row>
    <row r="27" spans="1:9" ht="16.5" x14ac:dyDescent="0.3">
      <c r="A27" s="3" t="s">
        <v>44</v>
      </c>
      <c r="C27" s="48">
        <f>'balance sheet'!C27/'balance sheet'!$C$32</f>
        <v>1.7783046828689982E-3</v>
      </c>
      <c r="D27" s="48">
        <f>'balance sheet'!D27/'balance sheet'!D$32</f>
        <v>2.2526750516238033E-3</v>
      </c>
      <c r="E27" s="48">
        <f>'balance sheet'!E27/'balance sheet'!E$32</f>
        <v>1.893939393939394E-3</v>
      </c>
      <c r="F27" s="48">
        <f>'balance sheet'!F27/'balance sheet'!F$32</f>
        <v>1.4171798773518979E-3</v>
      </c>
      <c r="G27" s="48">
        <f>'balance sheet'!G27/'balance sheet'!G$32</f>
        <v>1.2301042139691552E-3</v>
      </c>
      <c r="H27" s="48">
        <f>'balance sheet'!H27/'balance sheet'!H$32</f>
        <v>1.2537490880596611E-3</v>
      </c>
      <c r="I27" s="31" t="s">
        <v>71</v>
      </c>
    </row>
    <row r="28" spans="1:9" ht="16.5" x14ac:dyDescent="0.3">
      <c r="A28" s="3" t="s">
        <v>33</v>
      </c>
      <c r="C28" s="48">
        <f>'balance sheet'!C28/'balance sheet'!$C$32</f>
        <v>9.8794704603833236E-5</v>
      </c>
      <c r="D28" s="48">
        <v>0</v>
      </c>
      <c r="E28" s="48">
        <v>0</v>
      </c>
      <c r="F28" s="48">
        <f>'balance sheet'!F28/'balance sheet'!F$32</f>
        <v>2.0898505103806792E-4</v>
      </c>
      <c r="G28" s="48">
        <f>'balance sheet'!G28/'balance sheet'!G$32</f>
        <v>4.0811868781219637E-4</v>
      </c>
      <c r="H28" s="48">
        <f>'balance sheet'!H28/'balance sheet'!H$32</f>
        <v>1.0267772703936879E-4</v>
      </c>
      <c r="I28" s="31" t="s">
        <v>37</v>
      </c>
    </row>
    <row r="29" spans="1:9" ht="16.5" x14ac:dyDescent="0.3">
      <c r="A29" s="3" t="s">
        <v>45</v>
      </c>
      <c r="C29" s="48">
        <f>'balance sheet'!C29/'balance sheet'!$C$32</f>
        <v>2.1734835012843312E-3</v>
      </c>
      <c r="D29" s="48">
        <f>'balance sheet'!D29/'balance sheet'!D$32</f>
        <v>5.6316876290595083E-3</v>
      </c>
      <c r="E29" s="48">
        <f>'balance sheet'!E29/'balance sheet'!E$32</f>
        <v>6.234217171717172E-3</v>
      </c>
      <c r="F29" s="48">
        <f>'balance sheet'!F29/'balance sheet'!F$32</f>
        <v>9.4696351251624521E-3</v>
      </c>
      <c r="G29" s="48">
        <f>'balance sheet'!G29/'balance sheet'!G$32</f>
        <v>3.1229701843431872E-2</v>
      </c>
      <c r="H29" s="48">
        <f>'balance sheet'!H29/'balance sheet'!H$32</f>
        <v>3.5353562646923721E-2</v>
      </c>
      <c r="I29" s="31" t="s">
        <v>37</v>
      </c>
    </row>
    <row r="30" spans="1:9" ht="16.5" x14ac:dyDescent="0.3">
      <c r="A30" s="3" t="s">
        <v>46</v>
      </c>
      <c r="C30" s="48">
        <f>'balance sheet'!C30/'balance sheet'!$C$32</f>
        <v>5.2459988144635449E-2</v>
      </c>
      <c r="D30" s="48">
        <f>'balance sheet'!D30/'balance sheet'!D$32</f>
        <v>5.1623803266378825E-2</v>
      </c>
      <c r="E30" s="48">
        <f>'balance sheet'!E30/'balance sheet'!E$32</f>
        <v>4.0404040404040407E-2</v>
      </c>
      <c r="F30" s="48">
        <f>'balance sheet'!F30/'balance sheet'!F$32</f>
        <v>2.6175377642518007E-2</v>
      </c>
      <c r="G30" s="48">
        <f>'balance sheet'!G30/'balance sheet'!G$32</f>
        <v>1.2191827279572796E-2</v>
      </c>
      <c r="H30" s="48">
        <f>'balance sheet'!H30/'balance sheet'!H$32</f>
        <v>1.4131697695155232E-2</v>
      </c>
      <c r="I30" s="31" t="s">
        <v>37</v>
      </c>
    </row>
    <row r="31" spans="1:9" ht="16.5" x14ac:dyDescent="0.3">
      <c r="A31" s="7" t="s">
        <v>47</v>
      </c>
      <c r="B31" s="27"/>
      <c r="C31" s="49">
        <f>'balance sheet'!C31/'balance sheet'!C$32</f>
        <v>0.549199762892709</v>
      </c>
      <c r="D31" s="49">
        <f>'balance sheet'!D31/'balance sheet'!D$32</f>
        <v>0.50497465740566927</v>
      </c>
      <c r="E31" s="49">
        <f>'balance sheet'!E31/'balance sheet'!E$32</f>
        <v>0.48035037878787878</v>
      </c>
      <c r="F31" s="49">
        <f>'balance sheet'!F31/'balance sheet'!F$32</f>
        <v>0.49441944605899912</v>
      </c>
      <c r="G31" s="49">
        <f>'balance sheet'!G31/'balance sheet'!G$32</f>
        <v>0.51746575539320228</v>
      </c>
      <c r="H31" s="49">
        <f>'balance sheet'!H31/'balance sheet'!H$32</f>
        <v>0.45465697533032512</v>
      </c>
      <c r="I31" s="32"/>
    </row>
    <row r="32" spans="1:9" ht="17.25" thickBot="1" x14ac:dyDescent="0.35">
      <c r="A32" s="29" t="s">
        <v>48</v>
      </c>
      <c r="B32" s="16"/>
      <c r="C32" s="69">
        <f>'balance sheet'!C32/'balance sheet'!C$32</f>
        <v>1</v>
      </c>
      <c r="D32" s="69">
        <f>'balance sheet'!D32/'balance sheet'!D$32</f>
        <v>1</v>
      </c>
      <c r="E32" s="69">
        <f>'balance sheet'!E32/'balance sheet'!E$32</f>
        <v>1</v>
      </c>
      <c r="F32" s="69">
        <f>'balance sheet'!F32/'balance sheet'!F$32</f>
        <v>1</v>
      </c>
      <c r="G32" s="69">
        <f>'balance sheet'!G32/'balance sheet'!G$32</f>
        <v>1</v>
      </c>
      <c r="H32" s="69">
        <f>'balance sheet'!H32/'balance sheet'!H$32</f>
        <v>1</v>
      </c>
      <c r="I32" s="32"/>
    </row>
    <row r="33" spans="1:9" ht="16.5" x14ac:dyDescent="0.3">
      <c r="C33" s="17"/>
      <c r="D33" s="17"/>
      <c r="E33" s="17"/>
      <c r="F33" s="17"/>
      <c r="G33" s="17"/>
      <c r="H33" s="17"/>
      <c r="I33" s="32"/>
    </row>
    <row r="34" spans="1:9" ht="16.5" x14ac:dyDescent="0.3">
      <c r="A34" s="19" t="s">
        <v>49</v>
      </c>
      <c r="B34" s="20"/>
      <c r="C34" s="21">
        <v>41729</v>
      </c>
      <c r="D34" s="21">
        <v>42094</v>
      </c>
      <c r="E34" s="21">
        <v>42460</v>
      </c>
      <c r="F34" s="21">
        <v>42825</v>
      </c>
      <c r="G34" s="21">
        <v>43190</v>
      </c>
      <c r="H34" s="21">
        <v>43555</v>
      </c>
      <c r="I34" s="32"/>
    </row>
    <row r="35" spans="1:9" ht="16.5" x14ac:dyDescent="0.3">
      <c r="A35" s="1" t="s">
        <v>50</v>
      </c>
      <c r="C35" s="17"/>
      <c r="D35" s="17"/>
      <c r="E35" s="17"/>
      <c r="F35" s="17"/>
      <c r="G35" s="17"/>
      <c r="H35" s="17"/>
      <c r="I35" s="32"/>
    </row>
    <row r="36" spans="1:9" ht="16.5" x14ac:dyDescent="0.3">
      <c r="A36" s="3" t="s">
        <v>51</v>
      </c>
      <c r="C36" s="17"/>
      <c r="D36" s="17"/>
      <c r="E36" s="17"/>
      <c r="F36" s="17"/>
      <c r="G36" s="17"/>
      <c r="H36" s="17"/>
      <c r="I36" s="32"/>
    </row>
    <row r="37" spans="1:9" ht="16.5" x14ac:dyDescent="0.3">
      <c r="A37" s="3" t="s">
        <v>52</v>
      </c>
      <c r="C37" s="48">
        <f>'balance sheet'!C37/'balance sheet'!C$56</f>
        <v>3.9419087136929459E-3</v>
      </c>
      <c r="D37" s="48">
        <f>'balance sheet'!D37/'balance sheet'!D$56</f>
        <v>3.7449668209079898E-3</v>
      </c>
      <c r="E37" s="48">
        <f>'balance sheet'!E37/'balance sheet'!E$56</f>
        <v>3.1486742424242428E-3</v>
      </c>
      <c r="F37" s="48">
        <f>'balance sheet'!F37/'balance sheet'!F$56</f>
        <v>2.6057823551309096E-3</v>
      </c>
      <c r="G37" s="48">
        <f>'balance sheet'!G37/'balance sheet'!G$56</f>
        <v>2.2935120624938922E-3</v>
      </c>
      <c r="H37" s="48">
        <f>'balance sheet'!H37/'balance sheet'!H$56</f>
        <v>2.1616480404660515E-3</v>
      </c>
      <c r="I37" s="31" t="s">
        <v>71</v>
      </c>
    </row>
    <row r="38" spans="1:9" ht="16.5" x14ac:dyDescent="0.3">
      <c r="A38" s="3" t="s">
        <v>53</v>
      </c>
      <c r="C38" s="48">
        <f>'balance sheet'!C38/'balance sheet'!C$56</f>
        <v>0.55154119739181973</v>
      </c>
      <c r="D38" s="48">
        <f>'balance sheet'!D38/'balance sheet'!D$56</f>
        <v>0.61009170006476254</v>
      </c>
      <c r="E38" s="48">
        <f>'balance sheet'!E38/'balance sheet'!E$56</f>
        <v>0.62442392676767688</v>
      </c>
      <c r="F38" s="48">
        <f>'balance sheet'!F38/'balance sheet'!F$56</f>
        <v>0.671077122014616</v>
      </c>
      <c r="G38" s="48">
        <f>'balance sheet'!G38/'balance sheet'!G$56</f>
        <v>0.68584058079312971</v>
      </c>
      <c r="H38" s="48">
        <f>'balance sheet'!H38/'balance sheet'!H$56</f>
        <v>0.70688592983290466</v>
      </c>
      <c r="I38" s="31" t="s">
        <v>71</v>
      </c>
    </row>
    <row r="39" spans="1:9" ht="16.5" x14ac:dyDescent="0.3">
      <c r="A39" s="3" t="s">
        <v>54</v>
      </c>
      <c r="C39" s="48">
        <f>'balance sheet'!C39/'balance sheet'!C$56</f>
        <v>8.8915234143449907E-5</v>
      </c>
      <c r="D39" s="48">
        <f>'balance sheet'!D39/'balance sheet'!D$56</f>
        <v>1.7363881249824013E-3</v>
      </c>
      <c r="E39" s="48">
        <f>'balance sheet'!E39/'balance sheet'!E$56</f>
        <v>4.2297979797979801E-3</v>
      </c>
      <c r="F39" s="48">
        <f>'balance sheet'!F39/'balance sheet'!F$56</f>
        <v>4.4017476374893063E-3</v>
      </c>
      <c r="G39" s="48">
        <f>'balance sheet'!G39/'balance sheet'!G$56</f>
        <v>5.3572762963516483E-3</v>
      </c>
      <c r="H39" s="48">
        <f>'balance sheet'!H39/'balance sheet'!H$56</f>
        <v>6.2741834374527147E-3</v>
      </c>
      <c r="I39" s="31" t="s">
        <v>71</v>
      </c>
    </row>
    <row r="40" spans="1:9" ht="16.5" x14ac:dyDescent="0.3">
      <c r="A40" s="3" t="s">
        <v>55</v>
      </c>
      <c r="C40" s="48">
        <v>0</v>
      </c>
      <c r="D40" s="48">
        <f>'balance sheet'!D40/'balance sheet'!D$56</f>
        <v>1.1263058107993955E-3</v>
      </c>
      <c r="E40" s="48">
        <f>'balance sheet'!E40/'balance sheet'!E$56</f>
        <v>1.1521464646464648E-2</v>
      </c>
      <c r="F40" s="48">
        <f>'balance sheet'!F40/'balance sheet'!F$56</f>
        <v>1.3577497534629477E-2</v>
      </c>
      <c r="G40" s="48">
        <f>'balance sheet'!G40/'balance sheet'!G$56</f>
        <v>8.5992331967189549E-3</v>
      </c>
      <c r="H40" s="48">
        <f>'balance sheet'!H40/'balance sheet'!H$56</f>
        <v>6.7443418862540806E-3</v>
      </c>
      <c r="I40" s="31" t="s">
        <v>71</v>
      </c>
    </row>
    <row r="41" spans="1:9" ht="16.5" x14ac:dyDescent="0.3">
      <c r="A41" s="3" t="s">
        <v>56</v>
      </c>
      <c r="C41" s="48">
        <f>'balance sheet'!C41/'balance sheet'!C$56</f>
        <v>8.5951393005334912E-4</v>
      </c>
      <c r="D41" s="48">
        <f>'balance sheet'!D41/'balance sheet'!D$56</f>
        <v>9.573599391794861E-4</v>
      </c>
      <c r="E41" s="48">
        <f>'balance sheet'!E41/'balance sheet'!E$56</f>
        <v>1.2389520202020204E-3</v>
      </c>
      <c r="F41" s="48">
        <f>'balance sheet'!F41/'balance sheet'!F$56</f>
        <v>1.057986820880219E-3</v>
      </c>
      <c r="G41" s="48">
        <f>'balance sheet'!G41/'balance sheet'!G$56</f>
        <v>1.4887709879346318E-3</v>
      </c>
      <c r="H41" s="48">
        <f>'balance sheet'!H41/'balance sheet'!H$56</f>
        <v>1.5347701087308964E-3</v>
      </c>
      <c r="I41" s="31" t="s">
        <v>71</v>
      </c>
    </row>
    <row r="42" spans="1:9" ht="16.5" x14ac:dyDescent="0.3">
      <c r="A42" s="3" t="s">
        <v>78</v>
      </c>
      <c r="C42" s="48">
        <f>'balance sheet'!C42/'balance sheet'!C$56</f>
        <v>2.4204702627939143E-3</v>
      </c>
      <c r="D42" s="48">
        <f>'balance sheet'!D42/'balance sheet'!D$56</f>
        <v>2.9377809898350898E-3</v>
      </c>
      <c r="E42" s="48">
        <f>'balance sheet'!E42/'balance sheet'!E$56</f>
        <v>2.7541035353535357E-3</v>
      </c>
      <c r="F42" s="48">
        <v>0</v>
      </c>
      <c r="G42" s="48">
        <v>0</v>
      </c>
      <c r="H42" s="48">
        <v>0</v>
      </c>
      <c r="I42" s="31" t="s">
        <v>37</v>
      </c>
    </row>
    <row r="43" spans="1:9" ht="16.5" x14ac:dyDescent="0.3">
      <c r="A43" s="3" t="s">
        <v>57</v>
      </c>
      <c r="C43" s="48">
        <f>'balance sheet'!C43/'balance sheet'!C$56</f>
        <v>4.0901007705986961E-3</v>
      </c>
      <c r="D43" s="48">
        <f>'balance sheet'!D43/'balance sheet'!D$56</f>
        <v>5.265479665487174E-3</v>
      </c>
      <c r="E43" s="48">
        <f>'balance sheet'!E43/'balance sheet'!E$56</f>
        <v>5.4450757575757579E-3</v>
      </c>
      <c r="F43" s="48">
        <f>'balance sheet'!F43/'balance sheet'!F$56</f>
        <v>3.8858157927390761E-3</v>
      </c>
      <c r="G43" s="48">
        <f>'balance sheet'!G43/'balance sheet'!G$56</f>
        <v>5.3572762963516483E-3</v>
      </c>
      <c r="H43" s="48">
        <f>'balance sheet'!H43/'balance sheet'!H$56</f>
        <v>4.9988110935777442E-3</v>
      </c>
      <c r="I43" s="31" t="s">
        <v>37</v>
      </c>
    </row>
    <row r="44" spans="1:9" ht="16.5" x14ac:dyDescent="0.3">
      <c r="A44" s="3" t="s">
        <v>58</v>
      </c>
      <c r="C44" s="48">
        <v>0</v>
      </c>
      <c r="D44" s="48">
        <v>0</v>
      </c>
      <c r="E44" s="48">
        <f>'balance sheet'!E44/'balance sheet'!E$56</f>
        <v>1.7976641414141417E-2</v>
      </c>
      <c r="F44" s="48">
        <f>'balance sheet'!F44/'balance sheet'!F$56</f>
        <v>3.0622840759921895E-2</v>
      </c>
      <c r="G44" s="48">
        <f>'balance sheet'!G44/'balance sheet'!G$56</f>
        <v>3.3448487949002403E-2</v>
      </c>
      <c r="H44" s="48">
        <f>'balance sheet'!H44/'balance sheet'!H$56</f>
        <v>3.3121852100041073E-2</v>
      </c>
      <c r="I44" s="31" t="s">
        <v>71</v>
      </c>
    </row>
    <row r="45" spans="1:9" ht="16.5" x14ac:dyDescent="0.3">
      <c r="A45" s="7" t="s">
        <v>59</v>
      </c>
      <c r="B45" s="27"/>
      <c r="C45" s="49">
        <f>'balance sheet'!C45/'balance sheet'!C$56</f>
        <v>0.56294210630310204</v>
      </c>
      <c r="D45" s="49">
        <f>'balance sheet'!D45/'balance sheet'!D$56</f>
        <v>0.62585998141595411</v>
      </c>
      <c r="E45" s="49">
        <f>'balance sheet'!E45/'balance sheet'!E$56</f>
        <v>0.6707386363636364</v>
      </c>
      <c r="F45" s="49">
        <f>'balance sheet'!F45/'balance sheet'!F$56</f>
        <v>0.72722879291540676</v>
      </c>
      <c r="G45" s="49">
        <f>'balance sheet'!G45/'balance sheet'!G$56</f>
        <v>0.74238513758198299</v>
      </c>
      <c r="H45" s="49">
        <f>'balance sheet'!H45/'balance sheet'!H$56</f>
        <v>0.7617215364994272</v>
      </c>
      <c r="I45" s="32"/>
    </row>
    <row r="46" spans="1:9" ht="16.5" x14ac:dyDescent="0.3">
      <c r="C46" s="35"/>
      <c r="D46" s="35"/>
      <c r="E46" s="35"/>
      <c r="F46" s="17"/>
      <c r="G46" s="17"/>
      <c r="H46" s="17"/>
      <c r="I46" s="32"/>
    </row>
    <row r="47" spans="1:9" ht="16.5" x14ac:dyDescent="0.3">
      <c r="A47" s="28" t="s">
        <v>60</v>
      </c>
      <c r="C47" s="35"/>
      <c r="D47" s="35"/>
      <c r="E47" s="35"/>
      <c r="F47" s="17"/>
      <c r="G47" s="17"/>
      <c r="H47" s="17"/>
      <c r="I47" s="32"/>
    </row>
    <row r="48" spans="1:9" ht="16.5" x14ac:dyDescent="0.3">
      <c r="A48" s="28" t="s">
        <v>61</v>
      </c>
      <c r="C48" s="47">
        <v>0</v>
      </c>
      <c r="D48" s="47">
        <f>'balance sheet'!D48/'balance sheet'!D$56</f>
        <v>8.2595759458622339E-3</v>
      </c>
      <c r="E48" s="47">
        <f>'balance sheet'!E48/'balance sheet'!E$56</f>
        <v>6.6366792929292932E-3</v>
      </c>
      <c r="F48" s="47">
        <f>'balance sheet'!F48/'balance sheet'!F$56</f>
        <v>2.618843920820789E-3</v>
      </c>
      <c r="G48" s="47">
        <f>'balance sheet'!G48/'balance sheet'!G$56</f>
        <v>4.3341055015548744E-3</v>
      </c>
      <c r="H48" s="47">
        <f>'balance sheet'!H48/'balance sheet'!H$56</f>
        <v>9.927368625840342E-3</v>
      </c>
      <c r="I48" s="31" t="s">
        <v>71</v>
      </c>
    </row>
    <row r="49" spans="1:9" ht="16.5" x14ac:dyDescent="0.3">
      <c r="A49" s="28" t="s">
        <v>62</v>
      </c>
      <c r="C49" s="47">
        <f>'balance sheet'!C49/'balance sheet'!C$56</f>
        <v>0.22633866824738194</v>
      </c>
      <c r="D49" s="47">
        <f>'balance sheet'!D49/'balance sheet'!D$56</f>
        <v>0.25464835793998664</v>
      </c>
      <c r="E49" s="47">
        <f>'balance sheet'!E49/'balance sheet'!E$56</f>
        <v>0.2203046085858586</v>
      </c>
      <c r="F49" s="47">
        <f>'balance sheet'!F49/'balance sheet'!F$56</f>
        <v>0.21330842928141797</v>
      </c>
      <c r="G49" s="47">
        <f>'balance sheet'!G49/'balance sheet'!G$56</f>
        <v>0.19401732492570514</v>
      </c>
      <c r="H49" s="47">
        <f>'balance sheet'!H49/'balance sheet'!H$56</f>
        <v>0.18580445731825945</v>
      </c>
      <c r="I49" s="31" t="s">
        <v>37</v>
      </c>
    </row>
    <row r="50" spans="1:9" ht="16.5" x14ac:dyDescent="0.3">
      <c r="A50" s="28" t="s">
        <v>63</v>
      </c>
      <c r="C50" s="47">
        <f>'balance sheet'!C50/'balance sheet'!C$56</f>
        <v>5.3388658367911478E-2</v>
      </c>
      <c r="D50" s="47">
        <f>'balance sheet'!D50/'balance sheet'!D$56</f>
        <v>3.7459054090836559E-2</v>
      </c>
      <c r="E50" s="47">
        <f>'balance sheet'!E50/'balance sheet'!E$56</f>
        <v>3.4951073232323236E-2</v>
      </c>
      <c r="F50" s="47">
        <f>'balance sheet'!F50/'balance sheet'!F$56</f>
        <v>2.0160526642328615E-2</v>
      </c>
      <c r="G50" s="47">
        <f>'balance sheet'!G50/'balance sheet'!G$56</f>
        <v>8.4900183366001976E-3</v>
      </c>
      <c r="H50" s="47">
        <f>'balance sheet'!H50/'balance sheet'!H$56</f>
        <v>9.0248805689457645E-3</v>
      </c>
      <c r="I50" s="31" t="s">
        <v>71</v>
      </c>
    </row>
    <row r="51" spans="1:9" ht="16.5" x14ac:dyDescent="0.3">
      <c r="A51" s="28" t="s">
        <v>64</v>
      </c>
      <c r="C51" s="47">
        <f>'balance sheet'!C51/'balance sheet'!C$56</f>
        <v>4.7223868800632283E-3</v>
      </c>
      <c r="D51" s="47">
        <f>'balance sheet'!D51/'balance sheet'!D$56</f>
        <v>4.8431149864374004E-3</v>
      </c>
      <c r="E51" s="47">
        <f>'balance sheet'!E51/'balance sheet'!E$56</f>
        <v>4.3087121212121221E-3</v>
      </c>
      <c r="F51" s="47">
        <f>'balance sheet'!F51/'balance sheet'!F$56</f>
        <v>4.081739278087265E-3</v>
      </c>
      <c r="G51" s="47">
        <f>'balance sheet'!G51/'balance sheet'!G$56</f>
        <v>3.3166828572906665E-3</v>
      </c>
      <c r="H51" s="47">
        <f>'balance sheet'!H51/'balance sheet'!H$56</f>
        <v>3.231663820496747E-3</v>
      </c>
      <c r="I51" s="31" t="s">
        <v>37</v>
      </c>
    </row>
    <row r="52" spans="1:9" ht="16.5" x14ac:dyDescent="0.3">
      <c r="A52" s="28" t="s">
        <v>65</v>
      </c>
      <c r="C52" s="47">
        <f>'balance sheet'!C52/'balance sheet'!C$56</f>
        <v>0.15157083580320097</v>
      </c>
      <c r="D52" s="47">
        <f>'balance sheet'!D52/'balance sheet'!D$56</f>
        <v>6.7690979229043671E-2</v>
      </c>
      <c r="E52" s="47">
        <f>'balance sheet'!E52/'balance sheet'!E$56</f>
        <v>6.069286616161617E-2</v>
      </c>
      <c r="F52" s="47">
        <f>'balance sheet'!F52/'balance sheet'!F$56</f>
        <v>2.9819554469994323E-2</v>
      </c>
      <c r="G52" s="47">
        <f>'balance sheet'!G52/'balance sheet'!G$56</f>
        <v>4.3973351574131021E-2</v>
      </c>
      <c r="H52" s="47">
        <f>'balance sheet'!H52/'balance sheet'!H$56</f>
        <v>2.7063833466634966E-2</v>
      </c>
      <c r="I52" s="31" t="s">
        <v>37</v>
      </c>
    </row>
    <row r="53" spans="1:9" ht="16.5" x14ac:dyDescent="0.3">
      <c r="A53" s="28" t="s">
        <v>66</v>
      </c>
      <c r="C53" s="47">
        <f>'balance sheet'!C53/'balance sheet'!C$56</f>
        <v>2.8650464335111639E-4</v>
      </c>
      <c r="D53" s="47">
        <f>'balance sheet'!D53/'balance sheet'!D$56</f>
        <v>2.7219057094318721E-4</v>
      </c>
      <c r="E53" s="47">
        <f>'balance sheet'!E53/'balance sheet'!E$56</f>
        <v>2.9198232323232327E-4</v>
      </c>
      <c r="F53" s="47">
        <f>'balance sheet'!F53/'balance sheet'!F$56</f>
        <v>3.3306992509192078E-4</v>
      </c>
      <c r="G53" s="47">
        <f>'balance sheet'!G53/'balance sheet'!G$56</f>
        <v>3.2764458035627035E-4</v>
      </c>
      <c r="H53" s="47">
        <f>'balance sheet'!H53/'balance sheet'!H$56</f>
        <v>3.1343896586757746E-4</v>
      </c>
      <c r="I53" s="31" t="s">
        <v>71</v>
      </c>
    </row>
    <row r="54" spans="1:9" ht="16.5" x14ac:dyDescent="0.3">
      <c r="A54" s="28" t="s">
        <v>67</v>
      </c>
      <c r="C54" s="47">
        <f>'balance sheet'!C54/'balance sheet'!C$56</f>
        <v>7.5083975498913252E-4</v>
      </c>
      <c r="D54" s="47">
        <f>'balance sheet'!D54/'balance sheet'!D$56</f>
        <v>9.6674582093614781E-4</v>
      </c>
      <c r="E54" s="47">
        <f>'balance sheet'!E54/'balance sheet'!E$56</f>
        <v>2.0754419191919195E-3</v>
      </c>
      <c r="F54" s="47">
        <f>'balance sheet'!F54/'balance sheet'!F$56</f>
        <v>2.449043566852359E-3</v>
      </c>
      <c r="G54" s="47">
        <f>'balance sheet'!G54/'balance sheet'!G$56</f>
        <v>3.1557346423788141E-3</v>
      </c>
      <c r="H54" s="47">
        <f>'balance sheet'!H54/'balance sheet'!H$56</f>
        <v>2.9128207345280044E-3</v>
      </c>
      <c r="I54" s="31" t="s">
        <v>37</v>
      </c>
    </row>
    <row r="55" spans="1:9" ht="16.5" x14ac:dyDescent="0.3">
      <c r="A55" s="30" t="s">
        <v>69</v>
      </c>
      <c r="B55" s="27"/>
      <c r="C55" s="50">
        <f>SUM(C48:C54)</f>
        <v>0.43705789369689785</v>
      </c>
      <c r="D55" s="50">
        <f t="shared" ref="D55:H55" si="0">SUM(D48:D54)</f>
        <v>0.37414001858404583</v>
      </c>
      <c r="E55" s="50">
        <f t="shared" si="0"/>
        <v>0.32926136363636366</v>
      </c>
      <c r="F55" s="50">
        <f t="shared" si="0"/>
        <v>0.27277120708459329</v>
      </c>
      <c r="G55" s="50">
        <f t="shared" si="0"/>
        <v>0.25761486241801707</v>
      </c>
      <c r="H55" s="50">
        <f t="shared" si="0"/>
        <v>0.23827846350057286</v>
      </c>
      <c r="I55" s="32"/>
    </row>
    <row r="56" spans="1:9" ht="17.25" thickBot="1" x14ac:dyDescent="0.35">
      <c r="A56" s="29" t="s">
        <v>68</v>
      </c>
      <c r="B56" s="16"/>
      <c r="C56" s="51">
        <f>C45+C55</f>
        <v>0.99999999999999989</v>
      </c>
      <c r="D56" s="51">
        <f t="shared" ref="D56:H56" si="1">D45+D55</f>
        <v>1</v>
      </c>
      <c r="E56" s="51">
        <f t="shared" si="1"/>
        <v>1</v>
      </c>
      <c r="F56" s="51">
        <f t="shared" si="1"/>
        <v>1</v>
      </c>
      <c r="G56" s="51">
        <f t="shared" si="1"/>
        <v>1</v>
      </c>
      <c r="H56" s="51">
        <f t="shared" si="1"/>
        <v>1</v>
      </c>
      <c r="I56" s="32"/>
    </row>
  </sheetData>
  <mergeCells count="3">
    <mergeCell ref="A1:I1"/>
    <mergeCell ref="A2:V2"/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BEBD-D976-4354-A939-E75D5A6A513A}">
  <sheetPr codeName="Sheet4"/>
  <dimension ref="A1:AA58"/>
  <sheetViews>
    <sheetView showGridLines="0" topLeftCell="A22" zoomScale="95" zoomScaleNormal="95" workbookViewId="0">
      <selection activeCell="C38" sqref="C38"/>
    </sheetView>
  </sheetViews>
  <sheetFormatPr defaultRowHeight="15" x14ac:dyDescent="0.25"/>
  <cols>
    <col min="1" max="1" width="40" bestFit="1" customWidth="1"/>
    <col min="2" max="3" width="18" customWidth="1"/>
    <col min="4" max="7" width="10.85546875" bestFit="1" customWidth="1"/>
    <col min="8" max="8" width="10.85546875" customWidth="1"/>
    <col min="9" max="9" width="5" customWidth="1"/>
    <col min="10" max="10" width="25.7109375" bestFit="1" customWidth="1"/>
  </cols>
  <sheetData>
    <row r="1" spans="1:27" ht="18.75" x14ac:dyDescent="0.4">
      <c r="A1" s="85" t="s">
        <v>72</v>
      </c>
      <c r="B1" s="85"/>
      <c r="C1" s="85"/>
      <c r="D1" s="85"/>
      <c r="E1" s="85"/>
      <c r="F1" s="85"/>
      <c r="G1" s="85"/>
      <c r="H1" s="85"/>
      <c r="I1" s="85"/>
      <c r="J1" s="8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86" t="s">
        <v>23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</row>
    <row r="3" spans="1:27" x14ac:dyDescent="0.25">
      <c r="A3" s="86" t="s">
        <v>1</v>
      </c>
      <c r="B3" s="88"/>
      <c r="C3" s="88"/>
      <c r="D3" s="88"/>
      <c r="E3" s="88"/>
      <c r="F3" s="88"/>
    </row>
    <row r="5" spans="1:27" x14ac:dyDescent="0.25">
      <c r="A5" s="19" t="s">
        <v>24</v>
      </c>
      <c r="B5" s="20"/>
      <c r="C5" s="84">
        <v>41729</v>
      </c>
      <c r="D5" s="21">
        <v>42094</v>
      </c>
      <c r="E5" s="21">
        <v>42460</v>
      </c>
      <c r="F5" s="21">
        <v>42825</v>
      </c>
      <c r="G5" s="21">
        <v>43190</v>
      </c>
      <c r="H5" s="21">
        <v>43555</v>
      </c>
      <c r="I5" s="22"/>
    </row>
    <row r="6" spans="1:27" x14ac:dyDescent="0.25">
      <c r="A6" s="15" t="s">
        <v>25</v>
      </c>
    </row>
    <row r="7" spans="1:27" x14ac:dyDescent="0.25">
      <c r="A7" s="15" t="s">
        <v>27</v>
      </c>
    </row>
    <row r="8" spans="1:27" ht="16.5" x14ac:dyDescent="0.3">
      <c r="A8" s="3" t="s">
        <v>26</v>
      </c>
      <c r="C8" s="35">
        <v>1897</v>
      </c>
      <c r="D8" s="35">
        <v>2851</v>
      </c>
      <c r="E8" s="35">
        <v>3907</v>
      </c>
      <c r="F8" s="17">
        <v>4495</v>
      </c>
      <c r="G8" s="17">
        <v>4771.3999999999996</v>
      </c>
      <c r="H8" s="17">
        <v>4792.5</v>
      </c>
      <c r="I8" s="17"/>
      <c r="J8" s="31" t="s">
        <v>37</v>
      </c>
    </row>
    <row r="9" spans="1:27" ht="16.5" x14ac:dyDescent="0.3">
      <c r="A9" s="3" t="s">
        <v>70</v>
      </c>
      <c r="C9" s="35">
        <v>855</v>
      </c>
      <c r="D9" s="35">
        <v>315</v>
      </c>
      <c r="E9" s="35">
        <v>331</v>
      </c>
      <c r="F9" s="17">
        <v>386.5</v>
      </c>
      <c r="G9" s="17">
        <v>239</v>
      </c>
      <c r="H9" s="17">
        <v>384.9</v>
      </c>
      <c r="I9" s="17"/>
      <c r="J9" s="31" t="s">
        <v>37</v>
      </c>
    </row>
    <row r="10" spans="1:27" ht="16.5" x14ac:dyDescent="0.3">
      <c r="A10" s="3" t="s">
        <v>28</v>
      </c>
      <c r="C10" s="35">
        <v>350</v>
      </c>
      <c r="D10" s="35">
        <v>101</v>
      </c>
      <c r="E10" s="35">
        <v>129</v>
      </c>
      <c r="F10" s="17">
        <v>103.8</v>
      </c>
      <c r="G10" s="17">
        <v>189.6</v>
      </c>
      <c r="H10" s="17">
        <v>159.9</v>
      </c>
      <c r="I10" s="17"/>
      <c r="J10" s="31" t="s">
        <v>37</v>
      </c>
    </row>
    <row r="11" spans="1:27" ht="16.5" x14ac:dyDescent="0.3">
      <c r="A11" s="3" t="s">
        <v>29</v>
      </c>
      <c r="C11" s="35" t="s">
        <v>20</v>
      </c>
      <c r="D11" s="35">
        <v>404</v>
      </c>
      <c r="E11" s="35">
        <v>323</v>
      </c>
      <c r="F11" s="17">
        <v>194.5</v>
      </c>
      <c r="G11" s="17">
        <v>116.5</v>
      </c>
      <c r="H11" s="17">
        <v>188</v>
      </c>
      <c r="I11" s="17"/>
      <c r="J11" s="31" t="s">
        <v>37</v>
      </c>
    </row>
    <row r="12" spans="1:27" ht="16.5" x14ac:dyDescent="0.3">
      <c r="A12" s="3" t="s">
        <v>30</v>
      </c>
      <c r="C12" s="35" t="s">
        <v>20</v>
      </c>
      <c r="D12" s="35">
        <v>708</v>
      </c>
      <c r="E12" s="35">
        <v>950</v>
      </c>
      <c r="F12" s="17">
        <v>1025.4000000000001</v>
      </c>
      <c r="G12" s="17">
        <v>1159.5999999999999</v>
      </c>
      <c r="H12" s="17">
        <v>1705.9</v>
      </c>
      <c r="I12" s="17"/>
      <c r="J12" s="31" t="s">
        <v>22</v>
      </c>
    </row>
    <row r="13" spans="1:27" ht="16.5" x14ac:dyDescent="0.3">
      <c r="A13" s="3" t="s">
        <v>31</v>
      </c>
      <c r="C13" s="35">
        <v>878</v>
      </c>
      <c r="D13" s="35">
        <v>821</v>
      </c>
      <c r="E13" s="35">
        <v>945</v>
      </c>
      <c r="F13" s="17">
        <v>496.9</v>
      </c>
      <c r="G13" s="17">
        <v>918.5</v>
      </c>
      <c r="H13" s="17">
        <v>1234.0999999999999</v>
      </c>
      <c r="I13" s="17"/>
      <c r="J13" s="31" t="s">
        <v>22</v>
      </c>
    </row>
    <row r="14" spans="1:27" ht="16.5" x14ac:dyDescent="0.3">
      <c r="A14" s="3" t="s">
        <v>32</v>
      </c>
      <c r="C14" s="35">
        <v>477</v>
      </c>
      <c r="D14" s="35" t="s">
        <v>20</v>
      </c>
      <c r="E14" s="35" t="s">
        <v>20</v>
      </c>
      <c r="F14" s="17">
        <v>23.1</v>
      </c>
      <c r="G14" s="17">
        <v>22.3</v>
      </c>
      <c r="H14" s="17">
        <v>60.1</v>
      </c>
      <c r="I14" s="17"/>
      <c r="J14" s="31" t="s">
        <v>22</v>
      </c>
    </row>
    <row r="15" spans="1:27" ht="16.5" x14ac:dyDescent="0.3">
      <c r="A15" s="3" t="s">
        <v>33</v>
      </c>
      <c r="C15" s="35" t="s">
        <v>20</v>
      </c>
      <c r="D15" s="35" t="s">
        <v>20</v>
      </c>
      <c r="E15" s="35" t="s">
        <v>20</v>
      </c>
      <c r="F15" s="17">
        <v>25.4</v>
      </c>
      <c r="G15" s="17">
        <v>23.6</v>
      </c>
      <c r="H15" s="17">
        <v>33.799999999999997</v>
      </c>
      <c r="I15" s="17"/>
      <c r="J15" s="31" t="s">
        <v>37</v>
      </c>
    </row>
    <row r="16" spans="1:27" ht="16.5" x14ac:dyDescent="0.3">
      <c r="A16" s="3" t="s">
        <v>77</v>
      </c>
      <c r="C16" s="35">
        <v>106</v>
      </c>
      <c r="D16" s="35">
        <v>74</v>
      </c>
      <c r="E16" s="35" t="s">
        <v>20</v>
      </c>
      <c r="F16" s="17"/>
      <c r="G16" s="17"/>
      <c r="H16" s="35" t="s">
        <v>20</v>
      </c>
      <c r="I16" s="17"/>
      <c r="J16" s="31" t="s">
        <v>22</v>
      </c>
    </row>
    <row r="17" spans="1:10" ht="16.5" x14ac:dyDescent="0.3">
      <c r="A17" s="3" t="s">
        <v>34</v>
      </c>
      <c r="C17" s="35" t="s">
        <v>20</v>
      </c>
      <c r="D17" s="35" t="s">
        <v>20</v>
      </c>
      <c r="E17" s="35" t="s">
        <v>20</v>
      </c>
      <c r="F17" s="17">
        <v>332.5</v>
      </c>
      <c r="G17" s="17">
        <v>394.5</v>
      </c>
      <c r="H17" s="17">
        <v>855.6</v>
      </c>
      <c r="I17" s="17"/>
      <c r="J17" s="31" t="s">
        <v>37</v>
      </c>
    </row>
    <row r="18" spans="1:10" ht="16.5" x14ac:dyDescent="0.3">
      <c r="A18" s="3" t="s">
        <v>35</v>
      </c>
      <c r="C18" s="35" t="s">
        <v>20</v>
      </c>
      <c r="D18" s="35" t="s">
        <v>20</v>
      </c>
      <c r="E18" s="35" t="s">
        <v>20</v>
      </c>
      <c r="F18" s="17">
        <v>658.4</v>
      </c>
      <c r="G18" s="17">
        <v>559.6</v>
      </c>
      <c r="H18" s="17">
        <v>676.5</v>
      </c>
      <c r="I18" s="17"/>
      <c r="J18" s="31" t="s">
        <v>37</v>
      </c>
    </row>
    <row r="19" spans="1:10" ht="16.5" x14ac:dyDescent="0.3">
      <c r="A19" s="7" t="s">
        <v>36</v>
      </c>
      <c r="B19" s="27"/>
      <c r="C19" s="37">
        <f>SUM(C8:C18)</f>
        <v>4563</v>
      </c>
      <c r="D19" s="37">
        <f t="shared" ref="D19:E19" si="0">SUM(D8:D18)</f>
        <v>5274</v>
      </c>
      <c r="E19" s="37">
        <f t="shared" si="0"/>
        <v>6585</v>
      </c>
      <c r="F19" s="38">
        <f>SUM(F8:F18)</f>
        <v>7741.5</v>
      </c>
      <c r="G19" s="38">
        <f>SUM(G8:G18)</f>
        <v>8394.6</v>
      </c>
      <c r="H19" s="38">
        <f>SUM(H8:H18)</f>
        <v>10091.299999999999</v>
      </c>
      <c r="I19" s="23"/>
      <c r="J19" s="32"/>
    </row>
    <row r="20" spans="1:10" ht="16.5" x14ac:dyDescent="0.3">
      <c r="A20" s="3"/>
      <c r="C20" s="17"/>
      <c r="D20" s="17"/>
      <c r="E20" s="17"/>
      <c r="F20" s="17"/>
      <c r="G20" s="17"/>
      <c r="H20" s="17"/>
      <c r="I20" s="17"/>
      <c r="J20" s="32"/>
    </row>
    <row r="21" spans="1:10" ht="16.5" x14ac:dyDescent="0.3">
      <c r="A21" s="15" t="s">
        <v>38</v>
      </c>
      <c r="C21" s="35"/>
      <c r="D21" s="35"/>
      <c r="E21" s="35"/>
      <c r="F21" s="17"/>
      <c r="G21" s="17"/>
      <c r="H21" s="17"/>
      <c r="I21" s="17"/>
      <c r="J21" s="32"/>
    </row>
    <row r="22" spans="1:10" ht="16.5" x14ac:dyDescent="0.3">
      <c r="A22" s="3" t="s">
        <v>39</v>
      </c>
      <c r="C22" s="35">
        <v>670</v>
      </c>
      <c r="D22" s="35">
        <v>861</v>
      </c>
      <c r="E22" s="35">
        <v>762</v>
      </c>
      <c r="F22" s="17">
        <v>708.6</v>
      </c>
      <c r="G22" s="17">
        <v>962.7</v>
      </c>
      <c r="H22" s="17">
        <v>1249.5</v>
      </c>
      <c r="I22" s="17"/>
      <c r="J22" s="31" t="s">
        <v>37</v>
      </c>
    </row>
    <row r="23" spans="1:10" ht="16.5" x14ac:dyDescent="0.3">
      <c r="A23" s="3" t="s">
        <v>40</v>
      </c>
      <c r="C23" s="35">
        <v>3276</v>
      </c>
      <c r="D23" s="35">
        <v>2297</v>
      </c>
      <c r="E23" s="35">
        <v>3249</v>
      </c>
      <c r="F23" s="17">
        <v>4544.1000000000004</v>
      </c>
      <c r="G23" s="17">
        <v>5591.1</v>
      </c>
      <c r="H23" s="17">
        <v>3173.9</v>
      </c>
      <c r="I23" s="17"/>
      <c r="J23" s="31" t="s">
        <v>71</v>
      </c>
    </row>
    <row r="24" spans="1:10" ht="16.5" x14ac:dyDescent="0.3">
      <c r="A24" s="3" t="s">
        <v>41</v>
      </c>
      <c r="C24" s="35">
        <v>921</v>
      </c>
      <c r="D24" s="35">
        <v>1372</v>
      </c>
      <c r="E24" s="35">
        <v>1282</v>
      </c>
      <c r="F24" s="17">
        <v>1551.8</v>
      </c>
      <c r="G24" s="17">
        <v>1427</v>
      </c>
      <c r="H24" s="17">
        <v>2745.1</v>
      </c>
      <c r="I24" s="17"/>
      <c r="J24" s="31" t="s">
        <v>37</v>
      </c>
    </row>
    <row r="25" spans="1:10" ht="16.5" x14ac:dyDescent="0.3">
      <c r="A25" s="3" t="s">
        <v>42</v>
      </c>
      <c r="C25" s="35">
        <v>120</v>
      </c>
      <c r="D25" s="35">
        <v>216</v>
      </c>
      <c r="E25" s="35">
        <v>179</v>
      </c>
      <c r="F25" s="17">
        <v>74.099999999999994</v>
      </c>
      <c r="G25" s="17">
        <v>130.6</v>
      </c>
      <c r="H25" s="17">
        <v>208.1</v>
      </c>
      <c r="I25" s="17"/>
      <c r="J25" s="31" t="s">
        <v>37</v>
      </c>
    </row>
    <row r="26" spans="1:10" ht="16.5" x14ac:dyDescent="0.3">
      <c r="A26" s="3" t="s">
        <v>43</v>
      </c>
      <c r="C26" s="35" t="s">
        <v>20</v>
      </c>
      <c r="D26" s="35" t="s">
        <v>20</v>
      </c>
      <c r="E26" s="35" t="s">
        <v>20</v>
      </c>
      <c r="F26" s="17">
        <v>121.3</v>
      </c>
      <c r="G26" s="17">
        <v>107</v>
      </c>
      <c r="H26" s="17">
        <v>95.8</v>
      </c>
      <c r="I26" s="17"/>
      <c r="J26" s="31" t="s">
        <v>37</v>
      </c>
    </row>
    <row r="27" spans="1:10" ht="16.5" x14ac:dyDescent="0.3">
      <c r="A27" s="3" t="s">
        <v>44</v>
      </c>
      <c r="C27" s="35">
        <v>18</v>
      </c>
      <c r="D27" s="35">
        <v>24</v>
      </c>
      <c r="E27" s="35">
        <v>24</v>
      </c>
      <c r="F27" s="17">
        <v>21.7</v>
      </c>
      <c r="G27" s="17">
        <v>21.4</v>
      </c>
      <c r="H27" s="17">
        <v>23.2</v>
      </c>
      <c r="I27" s="17"/>
      <c r="J27" s="31" t="s">
        <v>71</v>
      </c>
    </row>
    <row r="28" spans="1:10" ht="16.5" x14ac:dyDescent="0.3">
      <c r="A28" s="3" t="s">
        <v>33</v>
      </c>
      <c r="C28" s="35">
        <v>1</v>
      </c>
      <c r="D28" s="35" t="s">
        <v>20</v>
      </c>
      <c r="E28" s="35" t="s">
        <v>20</v>
      </c>
      <c r="F28" s="17">
        <v>3.2</v>
      </c>
      <c r="G28" s="17">
        <v>7.1</v>
      </c>
      <c r="H28" s="17">
        <v>1.9</v>
      </c>
      <c r="I28" s="17"/>
      <c r="J28" s="31" t="s">
        <v>37</v>
      </c>
    </row>
    <row r="29" spans="1:10" ht="16.5" x14ac:dyDescent="0.3">
      <c r="A29" s="3" t="s">
        <v>45</v>
      </c>
      <c r="C29" s="35">
        <v>22</v>
      </c>
      <c r="D29" s="35">
        <v>60</v>
      </c>
      <c r="E29" s="35">
        <v>79</v>
      </c>
      <c r="F29" s="17">
        <v>145</v>
      </c>
      <c r="G29" s="17">
        <v>543.29999999999995</v>
      </c>
      <c r="H29" s="17">
        <v>654.20000000000005</v>
      </c>
      <c r="I29" s="17"/>
      <c r="J29" s="31" t="s">
        <v>37</v>
      </c>
    </row>
    <row r="30" spans="1:10" ht="16.5" x14ac:dyDescent="0.3">
      <c r="A30" s="3" t="s">
        <v>46</v>
      </c>
      <c r="C30" s="35">
        <v>531</v>
      </c>
      <c r="D30" s="35">
        <v>550</v>
      </c>
      <c r="E30" s="35">
        <v>512</v>
      </c>
      <c r="F30" s="17">
        <v>400.8</v>
      </c>
      <c r="G30" s="17">
        <v>212.1</v>
      </c>
      <c r="H30" s="17">
        <v>261.5</v>
      </c>
      <c r="I30" s="17"/>
      <c r="J30" s="31" t="s">
        <v>37</v>
      </c>
    </row>
    <row r="31" spans="1:10" ht="16.5" x14ac:dyDescent="0.3">
      <c r="A31" s="7" t="s">
        <v>47</v>
      </c>
      <c r="B31" s="27"/>
      <c r="C31" s="37">
        <f>SUM(C22:C30)</f>
        <v>5559</v>
      </c>
      <c r="D31" s="37">
        <f t="shared" ref="D31:E31" si="1">SUM(D22:D30)</f>
        <v>5380</v>
      </c>
      <c r="E31" s="37">
        <f t="shared" si="1"/>
        <v>6087</v>
      </c>
      <c r="F31" s="38">
        <f>SUM(F22:F30)</f>
        <v>7570.6000000000013</v>
      </c>
      <c r="G31" s="38">
        <f>SUM(G22:G30)</f>
        <v>9002.3000000000011</v>
      </c>
      <c r="H31" s="38">
        <f>SUM(H22:H30)</f>
        <v>8413.2000000000007</v>
      </c>
      <c r="I31" s="17"/>
      <c r="J31" s="32"/>
    </row>
    <row r="32" spans="1:10" ht="17.25" thickBot="1" x14ac:dyDescent="0.35">
      <c r="A32" s="29" t="s">
        <v>48</v>
      </c>
      <c r="B32" s="16"/>
      <c r="C32" s="36">
        <f>C19+C31</f>
        <v>10122</v>
      </c>
      <c r="D32" s="36">
        <f t="shared" ref="D32:E32" si="2">D19+D31</f>
        <v>10654</v>
      </c>
      <c r="E32" s="36">
        <f t="shared" si="2"/>
        <v>12672</v>
      </c>
      <c r="F32" s="18">
        <f>F19+F31</f>
        <v>15312.100000000002</v>
      </c>
      <c r="G32" s="18">
        <f>G19+G31</f>
        <v>17396.900000000001</v>
      </c>
      <c r="H32" s="18">
        <f>H19+H31</f>
        <v>18504.5</v>
      </c>
      <c r="I32" s="17"/>
      <c r="J32" s="32"/>
    </row>
    <row r="33" spans="1:10" ht="16.5" x14ac:dyDescent="0.3">
      <c r="C33" s="17"/>
      <c r="D33" s="17"/>
      <c r="E33" s="17"/>
      <c r="F33" s="17"/>
      <c r="G33" s="17"/>
      <c r="H33" s="17"/>
      <c r="I33" s="17"/>
      <c r="J33" s="32"/>
    </row>
    <row r="34" spans="1:10" ht="16.5" x14ac:dyDescent="0.3">
      <c r="A34" s="19" t="s">
        <v>49</v>
      </c>
      <c r="B34" s="20"/>
      <c r="C34" s="84">
        <v>41729</v>
      </c>
      <c r="D34" s="21">
        <v>42094</v>
      </c>
      <c r="E34" s="21">
        <v>42460</v>
      </c>
      <c r="F34" s="21">
        <v>42825</v>
      </c>
      <c r="G34" s="21">
        <v>43190</v>
      </c>
      <c r="H34" s="21">
        <v>43555</v>
      </c>
      <c r="I34" s="17"/>
      <c r="J34" s="32"/>
    </row>
    <row r="35" spans="1:10" ht="16.5" x14ac:dyDescent="0.3">
      <c r="A35" s="1" t="s">
        <v>50</v>
      </c>
      <c r="C35" s="17"/>
      <c r="D35" s="17"/>
      <c r="E35" s="17"/>
      <c r="F35" s="17"/>
      <c r="G35" s="17"/>
      <c r="H35" s="17"/>
      <c r="I35" s="17"/>
      <c r="J35" s="32"/>
    </row>
    <row r="36" spans="1:10" ht="16.5" x14ac:dyDescent="0.3">
      <c r="A36" s="3" t="s">
        <v>51</v>
      </c>
      <c r="C36" s="17"/>
      <c r="D36" s="17"/>
      <c r="E36" s="17"/>
      <c r="F36" s="17"/>
      <c r="G36" s="17"/>
      <c r="H36" s="17"/>
      <c r="I36" s="17"/>
      <c r="J36" s="32"/>
    </row>
    <row r="37" spans="1:10" ht="16.5" x14ac:dyDescent="0.3">
      <c r="A37" s="3" t="s">
        <v>52</v>
      </c>
      <c r="C37" s="35">
        <v>39.9</v>
      </c>
      <c r="D37" s="35">
        <v>39.9</v>
      </c>
      <c r="E37" s="35">
        <v>39.9</v>
      </c>
      <c r="F37" s="17">
        <v>39.9</v>
      </c>
      <c r="G37" s="17">
        <v>39.9</v>
      </c>
      <c r="H37" s="17">
        <v>40</v>
      </c>
      <c r="I37" s="17"/>
      <c r="J37" s="31" t="s">
        <v>71</v>
      </c>
    </row>
    <row r="38" spans="1:10" ht="16.5" x14ac:dyDescent="0.3">
      <c r="A38" s="3" t="s">
        <v>53</v>
      </c>
      <c r="C38" s="35">
        <v>5582.7</v>
      </c>
      <c r="D38" s="35">
        <v>6500.1</v>
      </c>
      <c r="E38" s="35">
        <v>7912.7</v>
      </c>
      <c r="F38" s="17">
        <v>10275.6</v>
      </c>
      <c r="G38" s="17">
        <v>11931.5</v>
      </c>
      <c r="H38" s="17">
        <v>13080.5</v>
      </c>
      <c r="I38" s="17"/>
      <c r="J38" s="31" t="s">
        <v>71</v>
      </c>
    </row>
    <row r="39" spans="1:10" ht="16.5" x14ac:dyDescent="0.3">
      <c r="A39" s="3" t="s">
        <v>54</v>
      </c>
      <c r="C39" s="35">
        <v>0.9</v>
      </c>
      <c r="D39" s="35">
        <v>18.5</v>
      </c>
      <c r="E39" s="35">
        <v>53.6</v>
      </c>
      <c r="F39" s="17">
        <v>67.400000000000006</v>
      </c>
      <c r="G39" s="17">
        <v>93.2</v>
      </c>
      <c r="H39" s="17">
        <v>116.1</v>
      </c>
      <c r="I39" s="17"/>
      <c r="J39" s="31" t="s">
        <v>71</v>
      </c>
    </row>
    <row r="40" spans="1:10" ht="16.5" x14ac:dyDescent="0.3">
      <c r="A40" s="3" t="s">
        <v>55</v>
      </c>
      <c r="C40" s="35" t="s">
        <v>20</v>
      </c>
      <c r="D40" s="35">
        <v>12</v>
      </c>
      <c r="E40" s="35">
        <v>146</v>
      </c>
      <c r="F40" s="17">
        <v>207.9</v>
      </c>
      <c r="G40" s="17">
        <v>149.6</v>
      </c>
      <c r="H40" s="17">
        <v>124.8</v>
      </c>
      <c r="I40" s="17"/>
      <c r="J40" s="31" t="s">
        <v>71</v>
      </c>
    </row>
    <row r="41" spans="1:10" ht="16.5" x14ac:dyDescent="0.3">
      <c r="A41" s="3" t="s">
        <v>56</v>
      </c>
      <c r="C41" s="35">
        <v>8.6999999999999993</v>
      </c>
      <c r="D41" s="35">
        <v>10.199999999999999</v>
      </c>
      <c r="E41" s="35">
        <v>15.7</v>
      </c>
      <c r="F41" s="17">
        <v>16.2</v>
      </c>
      <c r="G41" s="17">
        <v>25.9</v>
      </c>
      <c r="H41" s="17">
        <v>28.4</v>
      </c>
      <c r="I41" s="17"/>
      <c r="J41" s="31" t="s">
        <v>71</v>
      </c>
    </row>
    <row r="42" spans="1:10" ht="16.5" x14ac:dyDescent="0.3">
      <c r="A42" s="3" t="s">
        <v>78</v>
      </c>
      <c r="C42" s="35">
        <v>24.5</v>
      </c>
      <c r="D42" s="35">
        <v>31.3</v>
      </c>
      <c r="E42" s="35">
        <v>34.9</v>
      </c>
      <c r="F42" s="35" t="s">
        <v>20</v>
      </c>
      <c r="G42" s="35" t="s">
        <v>20</v>
      </c>
      <c r="H42" s="35" t="s">
        <v>20</v>
      </c>
      <c r="I42" s="17"/>
      <c r="J42" s="31" t="s">
        <v>37</v>
      </c>
    </row>
    <row r="43" spans="1:10" ht="16.5" x14ac:dyDescent="0.3">
      <c r="A43" s="3" t="s">
        <v>57</v>
      </c>
      <c r="C43" s="35">
        <v>41.4</v>
      </c>
      <c r="D43" s="35">
        <v>56.1</v>
      </c>
      <c r="E43" s="35">
        <v>69</v>
      </c>
      <c r="F43" s="17">
        <v>59.5</v>
      </c>
      <c r="G43" s="17">
        <v>93.2</v>
      </c>
      <c r="H43" s="17">
        <v>92.5</v>
      </c>
      <c r="I43" s="17"/>
      <c r="J43" s="31" t="s">
        <v>37</v>
      </c>
    </row>
    <row r="44" spans="1:10" ht="16.5" x14ac:dyDescent="0.3">
      <c r="A44" s="3" t="s">
        <v>58</v>
      </c>
      <c r="C44" s="35" t="s">
        <v>20</v>
      </c>
      <c r="D44" s="35" t="s">
        <v>20</v>
      </c>
      <c r="E44" s="35">
        <v>227.8</v>
      </c>
      <c r="F44" s="17">
        <v>468.9</v>
      </c>
      <c r="G44" s="17">
        <v>581.9</v>
      </c>
      <c r="H44" s="17">
        <v>612.9</v>
      </c>
      <c r="I44" s="17"/>
      <c r="J44" s="31" t="s">
        <v>71</v>
      </c>
    </row>
    <row r="45" spans="1:10" ht="16.5" x14ac:dyDescent="0.3">
      <c r="A45" s="7" t="s">
        <v>59</v>
      </c>
      <c r="B45" s="27"/>
      <c r="C45" s="37">
        <f>SUM(C37:C44)</f>
        <v>5698.0999999999985</v>
      </c>
      <c r="D45" s="37">
        <f t="shared" ref="D45:E45" si="3">SUM(D37:D44)</f>
        <v>6668.1</v>
      </c>
      <c r="E45" s="37">
        <f t="shared" si="3"/>
        <v>8499.5999999999985</v>
      </c>
      <c r="F45" s="38">
        <f>SUM(F37:F44)</f>
        <v>11135.4</v>
      </c>
      <c r="G45" s="38">
        <f>SUM(G37:G44)</f>
        <v>12915.2</v>
      </c>
      <c r="H45" s="38">
        <f>SUM(H37:H44)</f>
        <v>14095.199999999999</v>
      </c>
      <c r="I45" s="17"/>
      <c r="J45" s="32"/>
    </row>
    <row r="46" spans="1:10" ht="16.5" x14ac:dyDescent="0.3">
      <c r="C46" s="35"/>
      <c r="D46" s="35"/>
      <c r="E46" s="35"/>
      <c r="F46" s="17"/>
      <c r="G46" s="17"/>
      <c r="H46" s="17"/>
      <c r="I46" s="17"/>
      <c r="J46" s="32"/>
    </row>
    <row r="47" spans="1:10" ht="16.5" x14ac:dyDescent="0.3">
      <c r="A47" s="28" t="s">
        <v>60</v>
      </c>
      <c r="C47" s="35"/>
      <c r="D47" s="35"/>
      <c r="E47" s="35"/>
      <c r="F47" s="17"/>
      <c r="G47" s="17"/>
      <c r="H47" s="17"/>
      <c r="I47" s="17"/>
      <c r="J47" s="32"/>
    </row>
    <row r="48" spans="1:10" ht="16.5" x14ac:dyDescent="0.3">
      <c r="A48" s="28" t="s">
        <v>61</v>
      </c>
      <c r="C48" s="35" t="s">
        <v>20</v>
      </c>
      <c r="D48" s="35">
        <v>88</v>
      </c>
      <c r="E48" s="35">
        <v>84.1</v>
      </c>
      <c r="F48" s="17">
        <v>40.1</v>
      </c>
      <c r="G48" s="17">
        <v>75.400000000000006</v>
      </c>
      <c r="H48" s="17">
        <v>183.7</v>
      </c>
      <c r="I48" s="17"/>
      <c r="J48" s="31" t="s">
        <v>71</v>
      </c>
    </row>
    <row r="49" spans="1:10" ht="16.5" x14ac:dyDescent="0.3">
      <c r="A49" s="28" t="s">
        <v>62</v>
      </c>
      <c r="C49" s="35">
        <v>2291</v>
      </c>
      <c r="D49" s="35">
        <v>2713.1</v>
      </c>
      <c r="E49" s="35">
        <v>2791.7</v>
      </c>
      <c r="F49" s="17">
        <v>3266.2</v>
      </c>
      <c r="G49" s="17">
        <v>3375.3</v>
      </c>
      <c r="H49" s="17">
        <v>3438.2</v>
      </c>
      <c r="I49" s="17"/>
      <c r="J49" s="31" t="s">
        <v>37</v>
      </c>
    </row>
    <row r="50" spans="1:10" ht="16.5" x14ac:dyDescent="0.3">
      <c r="A50" s="28" t="s">
        <v>63</v>
      </c>
      <c r="C50" s="35">
        <v>540.4</v>
      </c>
      <c r="D50" s="35">
        <v>399.1</v>
      </c>
      <c r="E50" s="35">
        <v>442.9</v>
      </c>
      <c r="F50" s="17">
        <v>308.7</v>
      </c>
      <c r="G50" s="17">
        <v>147.69999999999999</v>
      </c>
      <c r="H50" s="17">
        <v>167</v>
      </c>
      <c r="I50" s="17"/>
      <c r="J50" s="31" t="s">
        <v>71</v>
      </c>
    </row>
    <row r="51" spans="1:10" ht="16.5" x14ac:dyDescent="0.3">
      <c r="A51" s="28" t="s">
        <v>64</v>
      </c>
      <c r="C51" s="35">
        <v>47.8</v>
      </c>
      <c r="D51" s="35">
        <v>51.6</v>
      </c>
      <c r="E51" s="35">
        <v>54.6</v>
      </c>
      <c r="F51" s="17">
        <v>62.5</v>
      </c>
      <c r="G51" s="17">
        <v>57.7</v>
      </c>
      <c r="H51" s="17">
        <v>59.8</v>
      </c>
      <c r="I51" s="17"/>
      <c r="J51" s="31" t="s">
        <v>37</v>
      </c>
    </row>
    <row r="52" spans="1:10" ht="16.5" x14ac:dyDescent="0.3">
      <c r="A52" s="28" t="s">
        <v>65</v>
      </c>
      <c r="C52" s="35">
        <v>1534.2</v>
      </c>
      <c r="D52" s="35">
        <v>721.2</v>
      </c>
      <c r="E52" s="35">
        <v>769.1</v>
      </c>
      <c r="F52" s="17">
        <v>456.6</v>
      </c>
      <c r="G52" s="17">
        <v>765</v>
      </c>
      <c r="H52" s="17">
        <v>500.8</v>
      </c>
      <c r="I52" s="17"/>
      <c r="J52" s="31" t="s">
        <v>37</v>
      </c>
    </row>
    <row r="53" spans="1:10" ht="16.5" x14ac:dyDescent="0.3">
      <c r="A53" s="28" t="s">
        <v>66</v>
      </c>
      <c r="C53" s="35">
        <v>2.9</v>
      </c>
      <c r="D53" s="35">
        <v>2.9</v>
      </c>
      <c r="E53" s="35">
        <v>3.7</v>
      </c>
      <c r="F53" s="17">
        <v>5.0999999999999996</v>
      </c>
      <c r="G53" s="17">
        <v>5.7</v>
      </c>
      <c r="H53" s="17">
        <v>5.8</v>
      </c>
      <c r="I53" s="17"/>
      <c r="J53" s="31" t="s">
        <v>71</v>
      </c>
    </row>
    <row r="54" spans="1:10" ht="16.5" x14ac:dyDescent="0.3">
      <c r="A54" s="28" t="s">
        <v>67</v>
      </c>
      <c r="C54" s="35">
        <v>7.6</v>
      </c>
      <c r="D54" s="35">
        <v>10.3</v>
      </c>
      <c r="E54" s="35">
        <v>26.3</v>
      </c>
      <c r="F54" s="17">
        <v>37.5</v>
      </c>
      <c r="G54" s="17">
        <v>54.9</v>
      </c>
      <c r="H54" s="17">
        <v>53.9</v>
      </c>
      <c r="I54" s="17"/>
      <c r="J54" s="31" t="s">
        <v>37</v>
      </c>
    </row>
    <row r="55" spans="1:10" ht="16.5" x14ac:dyDescent="0.3">
      <c r="A55" s="30" t="s">
        <v>69</v>
      </c>
      <c r="B55" s="27"/>
      <c r="C55" s="37">
        <f>SUM(C49:C54)</f>
        <v>4423.9000000000005</v>
      </c>
      <c r="D55" s="37">
        <f>SUM(D48:D54)</f>
        <v>3986.2000000000003</v>
      </c>
      <c r="E55" s="37">
        <f>SUM(E48:E54)</f>
        <v>4172.3999999999996</v>
      </c>
      <c r="F55" s="38">
        <f>SUM(F48:F54)</f>
        <v>4176.7</v>
      </c>
      <c r="G55" s="38">
        <f>SUM(G48:G54)</f>
        <v>4481.7</v>
      </c>
      <c r="H55" s="38">
        <f>SUM(H48:H54)</f>
        <v>4409.2</v>
      </c>
      <c r="I55" s="32"/>
    </row>
    <row r="56" spans="1:10" ht="17.25" thickBot="1" x14ac:dyDescent="0.35">
      <c r="A56" s="29" t="s">
        <v>68</v>
      </c>
      <c r="B56" s="16"/>
      <c r="C56" s="36">
        <f>C45+C55</f>
        <v>10122</v>
      </c>
      <c r="D56" s="36">
        <f t="shared" ref="D56:E56" si="4">D45+D55</f>
        <v>10654.300000000001</v>
      </c>
      <c r="E56" s="36">
        <f t="shared" si="4"/>
        <v>12671.999999999998</v>
      </c>
      <c r="F56" s="18">
        <f>F45+F55</f>
        <v>15312.099999999999</v>
      </c>
      <c r="G56" s="18">
        <f>G45+G55</f>
        <v>17396.900000000001</v>
      </c>
      <c r="H56" s="18">
        <f>H45+H55</f>
        <v>18504.399999999998</v>
      </c>
      <c r="I56" s="17"/>
      <c r="J56" s="32"/>
    </row>
    <row r="57" spans="1:10" ht="16.5" x14ac:dyDescent="0.3">
      <c r="J57" s="32"/>
    </row>
    <row r="58" spans="1:10" ht="16.5" x14ac:dyDescent="0.3">
      <c r="J58" s="32"/>
    </row>
  </sheetData>
  <mergeCells count="3">
    <mergeCell ref="A2:W2"/>
    <mergeCell ref="A3:F3"/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FD2D-32BA-449B-9941-3912FA56E58A}">
  <sheetPr codeName="Sheet5"/>
  <dimension ref="A1:I26"/>
  <sheetViews>
    <sheetView showGridLines="0" tabSelected="1" zoomScale="80" zoomScaleNormal="80" workbookViewId="0">
      <selection activeCell="C26" sqref="C26"/>
    </sheetView>
  </sheetViews>
  <sheetFormatPr defaultRowHeight="15" x14ac:dyDescent="0.25"/>
  <cols>
    <col min="2" max="2" width="36.140625" bestFit="1" customWidth="1"/>
    <col min="3" max="5" width="12" bestFit="1" customWidth="1"/>
    <col min="6" max="7" width="11.28515625" bestFit="1" customWidth="1"/>
    <col min="8" max="8" width="11.28515625" customWidth="1"/>
    <col min="9" max="9" width="14.85546875" bestFit="1" customWidth="1"/>
  </cols>
  <sheetData>
    <row r="1" spans="1:9" ht="18.75" x14ac:dyDescent="0.4">
      <c r="A1" s="57">
        <v>1</v>
      </c>
      <c r="B1" s="65" t="s">
        <v>94</v>
      </c>
      <c r="I1" s="65" t="s">
        <v>95</v>
      </c>
    </row>
    <row r="2" spans="1:9" ht="18.75" x14ac:dyDescent="0.4">
      <c r="A2" s="57"/>
      <c r="B2" s="81" t="s">
        <v>98</v>
      </c>
      <c r="C2" s="53">
        <v>41699</v>
      </c>
      <c r="D2" s="53">
        <v>42064</v>
      </c>
      <c r="E2" s="53">
        <v>42430</v>
      </c>
      <c r="F2" s="53">
        <v>42795</v>
      </c>
      <c r="G2" s="53">
        <v>43160</v>
      </c>
      <c r="H2" s="53">
        <v>43525</v>
      </c>
      <c r="I2" s="65"/>
    </row>
    <row r="3" spans="1:9" ht="18.75" x14ac:dyDescent="0.4">
      <c r="A3" s="57"/>
      <c r="B3" s="81"/>
      <c r="C3" s="53"/>
      <c r="D3" s="53"/>
      <c r="E3" s="53"/>
      <c r="F3" s="53"/>
      <c r="G3" s="53"/>
      <c r="H3" s="53"/>
      <c r="I3" s="65"/>
    </row>
    <row r="4" spans="1:9" ht="18.75" x14ac:dyDescent="0.4">
      <c r="B4" s="60" t="s">
        <v>3</v>
      </c>
      <c r="C4" s="61">
        <v>27005</v>
      </c>
      <c r="D4" s="61">
        <v>29021</v>
      </c>
      <c r="E4" s="61">
        <v>30715</v>
      </c>
      <c r="F4" s="24">
        <v>30984</v>
      </c>
      <c r="G4" s="24">
        <v>33101</v>
      </c>
      <c r="H4" s="24">
        <v>33972</v>
      </c>
      <c r="I4" s="65"/>
    </row>
    <row r="5" spans="1:9" ht="18.75" x14ac:dyDescent="0.4">
      <c r="B5" s="60" t="s">
        <v>6</v>
      </c>
      <c r="C5" s="62">
        <v>-1880</v>
      </c>
      <c r="D5" s="62">
        <v>-1718</v>
      </c>
      <c r="E5" s="62">
        <v>-2258</v>
      </c>
      <c r="F5" s="63">
        <v>-2373</v>
      </c>
      <c r="G5" s="63">
        <v>-643</v>
      </c>
      <c r="H5" s="63">
        <v>-1</v>
      </c>
      <c r="I5" s="65"/>
    </row>
    <row r="6" spans="1:9" ht="18.75" x14ac:dyDescent="0.4">
      <c r="B6" s="59" t="s">
        <v>80</v>
      </c>
      <c r="C6" s="64">
        <f>SUM(C4:C5)</f>
        <v>25125</v>
      </c>
      <c r="D6" s="64">
        <f t="shared" ref="D6:H6" si="0">SUM(D4:D5)</f>
        <v>27303</v>
      </c>
      <c r="E6" s="64">
        <f t="shared" si="0"/>
        <v>28457</v>
      </c>
      <c r="F6" s="64">
        <f t="shared" si="0"/>
        <v>28611</v>
      </c>
      <c r="G6" s="64">
        <f t="shared" si="0"/>
        <v>32458</v>
      </c>
      <c r="H6" s="64">
        <f t="shared" si="0"/>
        <v>33971</v>
      </c>
      <c r="I6" s="65"/>
    </row>
    <row r="7" spans="1:9" ht="18.75" x14ac:dyDescent="0.4">
      <c r="B7" s="1" t="s">
        <v>81</v>
      </c>
      <c r="D7" s="56">
        <f>D6/C6-1</f>
        <v>8.6686567164178996E-2</v>
      </c>
      <c r="E7" s="56">
        <f t="shared" ref="E7:H7" si="1">E6/D6-1</f>
        <v>4.2266417609786444E-2</v>
      </c>
      <c r="F7" s="56">
        <f t="shared" si="1"/>
        <v>5.4116737533822512E-3</v>
      </c>
      <c r="G7" s="56">
        <f t="shared" si="1"/>
        <v>0.13445877459718281</v>
      </c>
      <c r="H7" s="56">
        <f t="shared" si="1"/>
        <v>4.6614085895618995E-2</v>
      </c>
      <c r="I7" s="65"/>
    </row>
    <row r="8" spans="1:9" ht="18.75" x14ac:dyDescent="0.4">
      <c r="A8" s="57">
        <v>2</v>
      </c>
      <c r="I8" s="65" t="s">
        <v>96</v>
      </c>
    </row>
    <row r="9" spans="1:9" ht="18.75" x14ac:dyDescent="0.4">
      <c r="A9" s="57"/>
      <c r="B9" s="65" t="s">
        <v>93</v>
      </c>
      <c r="I9" s="65"/>
    </row>
    <row r="10" spans="1:9" ht="18.75" x14ac:dyDescent="0.4">
      <c r="B10" s="1" t="s">
        <v>38</v>
      </c>
      <c r="C10" s="58">
        <f>'balance sheet'!C31</f>
        <v>5559</v>
      </c>
      <c r="D10" s="58">
        <f>'balance sheet'!D31</f>
        <v>5380</v>
      </c>
      <c r="E10" s="58">
        <f>'balance sheet'!E31</f>
        <v>6087</v>
      </c>
      <c r="F10" s="58">
        <f>'balance sheet'!F31</f>
        <v>7570.6000000000013</v>
      </c>
      <c r="G10" s="58">
        <f>'balance sheet'!G31</f>
        <v>9002.3000000000011</v>
      </c>
      <c r="H10" s="58">
        <f>'balance sheet'!H31</f>
        <v>8413.2000000000007</v>
      </c>
      <c r="I10" s="65"/>
    </row>
    <row r="11" spans="1:9" ht="18.75" x14ac:dyDescent="0.4">
      <c r="B11" s="1" t="s">
        <v>82</v>
      </c>
      <c r="C11" s="58">
        <f>'balance sheet'!C55</f>
        <v>4423.9000000000005</v>
      </c>
      <c r="D11" s="58">
        <f>'balance sheet'!D55</f>
        <v>3986.2000000000003</v>
      </c>
      <c r="E11" s="58">
        <f>'balance sheet'!E55</f>
        <v>4172.3999999999996</v>
      </c>
      <c r="F11" s="58">
        <f>'balance sheet'!F55</f>
        <v>4176.7</v>
      </c>
      <c r="G11" s="58">
        <f>'balance sheet'!G55</f>
        <v>4481.7</v>
      </c>
      <c r="H11" s="58">
        <f>'balance sheet'!H55</f>
        <v>4409.2</v>
      </c>
      <c r="I11" s="65"/>
    </row>
    <row r="12" spans="1:9" ht="18.75" x14ac:dyDescent="0.4">
      <c r="B12" s="70" t="s">
        <v>83</v>
      </c>
      <c r="C12" s="82">
        <f>C10/C11</f>
        <v>1.2565835574945183</v>
      </c>
      <c r="D12" s="82">
        <f t="shared" ref="D12:H12" si="2">D10/D11</f>
        <v>1.3496563142842806</v>
      </c>
      <c r="E12" s="82">
        <f t="shared" si="2"/>
        <v>1.4588725913143517</v>
      </c>
      <c r="F12" s="82">
        <f t="shared" si="2"/>
        <v>1.8125793090238709</v>
      </c>
      <c r="G12" s="82">
        <f t="shared" si="2"/>
        <v>2.008679742062164</v>
      </c>
      <c r="H12" s="82">
        <f t="shared" si="2"/>
        <v>1.908101242855847</v>
      </c>
      <c r="I12" s="65"/>
    </row>
    <row r="13" spans="1:9" ht="18.75" x14ac:dyDescent="0.4">
      <c r="A13" s="57">
        <v>3</v>
      </c>
      <c r="I13" s="65" t="s">
        <v>96</v>
      </c>
    </row>
    <row r="14" spans="1:9" ht="18.75" x14ac:dyDescent="0.4">
      <c r="A14" s="57"/>
      <c r="B14" s="65" t="s">
        <v>92</v>
      </c>
      <c r="I14" s="65"/>
    </row>
    <row r="15" spans="1:9" ht="18.75" x14ac:dyDescent="0.4">
      <c r="A15" s="57"/>
      <c r="B15" s="1" t="s">
        <v>10</v>
      </c>
      <c r="C15" s="54">
        <f>'income statement'!C12</f>
        <v>3539</v>
      </c>
      <c r="D15" s="54">
        <f>'income statement'!D12</f>
        <v>3497</v>
      </c>
      <c r="E15" s="54">
        <f>'income statement'!E12</f>
        <v>4397</v>
      </c>
      <c r="F15" s="54">
        <f>'income statement'!F12</f>
        <v>4576</v>
      </c>
      <c r="G15" s="54">
        <f>'income statement'!G12</f>
        <v>5325</v>
      </c>
      <c r="H15" s="54">
        <f>'income statement'!H12</f>
        <v>5018</v>
      </c>
      <c r="I15" s="65"/>
    </row>
    <row r="16" spans="1:9" ht="18.75" x14ac:dyDescent="0.4">
      <c r="B16" s="1" t="s">
        <v>84</v>
      </c>
      <c r="C16" s="56">
        <f t="shared" ref="C16:H16" si="3">C15/C6</f>
        <v>0.14085572139303482</v>
      </c>
      <c r="D16" s="56">
        <f t="shared" si="3"/>
        <v>0.12808116324213456</v>
      </c>
      <c r="E16" s="56">
        <f t="shared" si="3"/>
        <v>0.15451382788066206</v>
      </c>
      <c r="F16" s="56">
        <f t="shared" si="3"/>
        <v>0.15993848519800077</v>
      </c>
      <c r="G16" s="56">
        <f t="shared" si="3"/>
        <v>0.16405816747797153</v>
      </c>
      <c r="H16" s="56">
        <f t="shared" si="3"/>
        <v>0.14771422684054047</v>
      </c>
      <c r="I16" s="65"/>
    </row>
    <row r="17" spans="1:9" ht="18.75" x14ac:dyDescent="0.4">
      <c r="A17" s="57">
        <v>4</v>
      </c>
      <c r="I17" s="65"/>
    </row>
    <row r="18" spans="1:9" ht="18.75" x14ac:dyDescent="0.4">
      <c r="B18" s="65" t="s">
        <v>85</v>
      </c>
      <c r="C18" s="56">
        <f>'income statement'!C22/('balance sheet'!C37+'balance sheet'!C38)</f>
        <v>0.37384839753850535</v>
      </c>
      <c r="D18" s="56">
        <f>'income statement'!D22/('balance sheet'!D37+'balance sheet'!D38)</f>
        <v>0.36162079510703365</v>
      </c>
      <c r="E18" s="56">
        <f>'income statement'!E22/('balance sheet'!E37+'balance sheet'!E38)</f>
        <v>0.39169579760078466</v>
      </c>
      <c r="F18" s="56">
        <f>'income statement'!F22/('balance sheet'!F37+'balance sheet'!F38)</f>
        <v>0.34385148562842327</v>
      </c>
      <c r="G18" s="56">
        <f>'income statement'!G22/('balance sheet'!G37+'balance sheet'!G38)</f>
        <v>0.31090766326411279</v>
      </c>
      <c r="H18" s="56">
        <f>'income statement'!H22/('balance sheet'!H37+'balance sheet'!H38)</f>
        <v>0.26424297854502499</v>
      </c>
      <c r="I18" s="65"/>
    </row>
    <row r="19" spans="1:9" ht="18.75" x14ac:dyDescent="0.4">
      <c r="B19" s="1" t="s">
        <v>86</v>
      </c>
      <c r="C19" s="56">
        <f>'income statement'!C22/'RATIO ANALYSIS'!C6</f>
        <v>8.3661691542288558E-2</v>
      </c>
      <c r="D19" s="56">
        <f>'income statement'!D22/'RATIO ANALYSIS'!D6</f>
        <v>8.6620517891806761E-2</v>
      </c>
      <c r="E19" s="56">
        <f>'income statement'!E22/'RATIO ANALYSIS'!E6</f>
        <v>0.10946340092068735</v>
      </c>
      <c r="F19" s="56">
        <f>'income statement'!F22/'RATIO ANALYSIS'!F6</f>
        <v>0.12397329698367761</v>
      </c>
      <c r="G19" s="56">
        <f>'income statement'!G22/'RATIO ANALYSIS'!G6</f>
        <v>0.11467126748413334</v>
      </c>
      <c r="H19" s="56">
        <f>'income statement'!H22/'RATIO ANALYSIS'!H6</f>
        <v>0.10205763739660298</v>
      </c>
      <c r="I19" s="65" t="s">
        <v>97</v>
      </c>
    </row>
    <row r="20" spans="1:9" ht="18.75" x14ac:dyDescent="0.4">
      <c r="B20" s="1" t="s">
        <v>87</v>
      </c>
      <c r="C20" s="55">
        <f>C6/'balance sheet'!C32</f>
        <v>2.4822169531713101</v>
      </c>
      <c r="D20" s="55">
        <f>D6/'balance sheet'!D32</f>
        <v>2.5626994556035294</v>
      </c>
      <c r="E20" s="55">
        <f>E6/'balance sheet'!E32</f>
        <v>2.2456597222222223</v>
      </c>
      <c r="F20" s="55">
        <f>F6/'balance sheet'!F32</f>
        <v>1.8685222797656753</v>
      </c>
      <c r="G20" s="55">
        <f>G6/'balance sheet'!G32</f>
        <v>1.8657346998603197</v>
      </c>
      <c r="H20" s="55">
        <f>H6/'balance sheet'!H32</f>
        <v>1.8358237185549462</v>
      </c>
      <c r="I20" s="65"/>
    </row>
    <row r="21" spans="1:9" ht="18.75" x14ac:dyDescent="0.4">
      <c r="B21" s="1" t="s">
        <v>88</v>
      </c>
      <c r="C21" s="17">
        <f>'balance sheet'!C32/('balance sheet'!C37+'balance sheet'!C38)</f>
        <v>1.8002347668338492</v>
      </c>
      <c r="D21" s="17">
        <f>'balance sheet'!D32/('balance sheet'!D37+'balance sheet'!D38)</f>
        <v>1.6290519877675842</v>
      </c>
      <c r="E21" s="17">
        <f>'balance sheet'!E32/('balance sheet'!E37+'balance sheet'!E38)</f>
        <v>1.5934411387470766</v>
      </c>
      <c r="F21" s="17">
        <f>'balance sheet'!F32/('balance sheet'!F37+'balance sheet'!F38)</f>
        <v>1.4843778779506569</v>
      </c>
      <c r="G21" s="17">
        <f>'balance sheet'!G32/('balance sheet'!G37+'balance sheet'!G38)</f>
        <v>1.4532051389144129</v>
      </c>
      <c r="H21" s="17">
        <f>'balance sheet'!H32/('balance sheet'!H37+'balance sheet'!H38)</f>
        <v>1.4103502153119165</v>
      </c>
      <c r="I21" s="65"/>
    </row>
    <row r="22" spans="1:9" ht="18.75" x14ac:dyDescent="0.4">
      <c r="B22" s="70" t="s">
        <v>85</v>
      </c>
      <c r="C22" s="83">
        <f>C19*C20*C21</f>
        <v>0.37384839753850535</v>
      </c>
      <c r="D22" s="83">
        <f t="shared" ref="D22:H22" si="4">D19*D20*D21</f>
        <v>0.36162079510703365</v>
      </c>
      <c r="E22" s="83">
        <f t="shared" si="4"/>
        <v>0.39169579760078466</v>
      </c>
      <c r="F22" s="83">
        <f t="shared" si="4"/>
        <v>0.34385148562842321</v>
      </c>
      <c r="G22" s="83">
        <f t="shared" si="4"/>
        <v>0.31090766326411284</v>
      </c>
      <c r="H22" s="83">
        <f t="shared" si="4"/>
        <v>0.26424297854502493</v>
      </c>
      <c r="I22" s="65"/>
    </row>
    <row r="23" spans="1:9" ht="18.75" x14ac:dyDescent="0.4">
      <c r="A23" s="57">
        <v>5</v>
      </c>
      <c r="I23" s="65"/>
    </row>
    <row r="24" spans="1:9" ht="18.75" x14ac:dyDescent="0.4">
      <c r="B24" s="65" t="s">
        <v>91</v>
      </c>
      <c r="I24" s="65" t="s">
        <v>96</v>
      </c>
    </row>
    <row r="25" spans="1:9" ht="18.75" x14ac:dyDescent="0.4">
      <c r="B25" s="1" t="s">
        <v>89</v>
      </c>
      <c r="C25" s="17">
        <v>0</v>
      </c>
      <c r="D25" s="17">
        <f>('balance sheet'!D40+'balance sheet'!D48)/('balance sheet'!D37+'balance sheet'!D38)</f>
        <v>1.5290519877675841E-2</v>
      </c>
      <c r="E25" s="17">
        <f>('balance sheet'!E40+'balance sheet'!E48)/('balance sheet'!E37+'balance sheet'!E38)</f>
        <v>2.8933933556321203E-2</v>
      </c>
      <c r="F25" s="17">
        <f>('balance sheet'!F40+'balance sheet'!F48)/('balance sheet'!F37+'balance sheet'!F38)</f>
        <v>2.4041490960205514E-2</v>
      </c>
      <c r="G25" s="17">
        <f>('balance sheet'!G40+'balance sheet'!G48)/('balance sheet'!G37+'balance sheet'!G38)</f>
        <v>1.8794794259652171E-2</v>
      </c>
      <c r="H25" s="17">
        <f>('balance sheet'!H40+'balance sheet'!H48)/('balance sheet'!H37+'balance sheet'!H38)</f>
        <v>2.3512823444228496E-2</v>
      </c>
      <c r="I25" s="65"/>
    </row>
    <row r="26" spans="1:9" x14ac:dyDescent="0.25">
      <c r="B26" s="1" t="s">
        <v>90</v>
      </c>
      <c r="C26" s="58">
        <f>-C15/'income statement'!C16</f>
        <v>294.91666666666669</v>
      </c>
      <c r="D26" s="58">
        <f>-D15/'income statement'!D16</f>
        <v>291.41666666666669</v>
      </c>
      <c r="E26" s="58">
        <f>-E15/'income statement'!E16</f>
        <v>293.13333333333333</v>
      </c>
      <c r="F26" s="58">
        <f>-F15/'income statement'!F16</f>
        <v>169.4814814814815</v>
      </c>
      <c r="G26" s="58">
        <f>-G15/'income statement'!G16</f>
        <v>171.7741935483871</v>
      </c>
      <c r="H26" s="58">
        <f>-H15/'income statement'!H16</f>
        <v>135.62162162162161</v>
      </c>
    </row>
  </sheetData>
  <pageMargins left="0.7" right="0.7" top="0.75" bottom="0.75" header="0.3" footer="0.3"/>
  <pageSetup paperSize="9" orientation="portrait" r:id="rId1"/>
  <ignoredErrors>
    <ignoredError sqref="C6:H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B17A-8292-4750-BAF0-DCD1FF933886}">
  <sheetPr codeName="Sheet6"/>
  <dimension ref="A1:T7"/>
  <sheetViews>
    <sheetView showGridLines="0" zoomScale="130" zoomScaleNormal="130" workbookViewId="0">
      <selection activeCell="H20" sqref="H20"/>
    </sheetView>
  </sheetViews>
  <sheetFormatPr defaultRowHeight="15" x14ac:dyDescent="0.25"/>
  <cols>
    <col min="1" max="1" width="31.85546875" bestFit="1" customWidth="1"/>
    <col min="3" max="7" width="10.42578125" bestFit="1" customWidth="1"/>
  </cols>
  <sheetData>
    <row r="1" spans="1:20" x14ac:dyDescent="0.25">
      <c r="A1" s="86" t="s">
        <v>73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</row>
    <row r="2" spans="1:20" x14ac:dyDescent="0.25">
      <c r="A2" s="86" t="s">
        <v>1</v>
      </c>
      <c r="B2" s="88"/>
      <c r="C2" s="14"/>
      <c r="D2" s="14"/>
      <c r="E2" s="14"/>
    </row>
    <row r="4" spans="1:20" x14ac:dyDescent="0.25">
      <c r="A4" s="20" t="s">
        <v>2</v>
      </c>
      <c r="B4" s="20"/>
      <c r="C4" s="21">
        <v>41729</v>
      </c>
      <c r="D4" s="21">
        <v>42094</v>
      </c>
      <c r="E4" s="21">
        <v>42460</v>
      </c>
      <c r="F4" s="21">
        <v>42825</v>
      </c>
      <c r="G4" s="21">
        <v>43190</v>
      </c>
    </row>
    <row r="5" spans="1:20" x14ac:dyDescent="0.25">
      <c r="A5" t="s">
        <v>74</v>
      </c>
      <c r="C5">
        <v>2963</v>
      </c>
      <c r="D5">
        <v>2186</v>
      </c>
      <c r="E5">
        <v>3796</v>
      </c>
      <c r="F5">
        <v>4007</v>
      </c>
      <c r="G5">
        <v>4017</v>
      </c>
    </row>
    <row r="6" spans="1:20" x14ac:dyDescent="0.25">
      <c r="A6" t="s">
        <v>75</v>
      </c>
      <c r="C6" s="46">
        <v>-937</v>
      </c>
      <c r="D6" s="46">
        <v>-1230</v>
      </c>
      <c r="E6" s="46">
        <v>-1701</v>
      </c>
      <c r="F6" s="34">
        <v>-1237</v>
      </c>
      <c r="G6" s="34">
        <v>-822</v>
      </c>
    </row>
    <row r="7" spans="1:20" x14ac:dyDescent="0.25">
      <c r="A7" t="s">
        <v>76</v>
      </c>
      <c r="C7">
        <f>SUM(C5:C6)</f>
        <v>2026</v>
      </c>
      <c r="D7">
        <f t="shared" ref="D7:E7" si="0">SUM(D5:D6)</f>
        <v>956</v>
      </c>
      <c r="E7">
        <f t="shared" si="0"/>
        <v>2095</v>
      </c>
      <c r="F7">
        <f>SUM(F5:F6)</f>
        <v>2770</v>
      </c>
      <c r="G7">
        <f>SUM(G5:G6)</f>
        <v>3195</v>
      </c>
    </row>
  </sheetData>
  <mergeCells count="2">
    <mergeCell ref="A1:T1"/>
    <mergeCell ref="A2:B2"/>
  </mergeCells>
  <pageMargins left="0.7" right="0.7" top="0.75" bottom="0.75" header="0.3" footer="0.3"/>
  <ignoredErrors>
    <ignoredError sqref="C7:E7 F7:G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 STATEMENT-TREND ANALYSIS</vt:lpstr>
      <vt:lpstr>income statement</vt:lpstr>
      <vt:lpstr>balance sheet trend analysis</vt:lpstr>
      <vt:lpstr>balance sheet</vt:lpstr>
      <vt:lpstr>RATIO ANALYSIS</vt:lpstr>
      <vt:lpstr>CASHFLOW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2025-12-31T08:15:02Z</dcterms:created>
  <dcterms:modified xsi:type="dcterms:W3CDTF">2026-01-14T11:29:27Z</dcterms:modified>
</cp:coreProperties>
</file>
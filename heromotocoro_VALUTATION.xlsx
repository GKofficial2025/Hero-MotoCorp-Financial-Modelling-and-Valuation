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EROMOTOCORP FS&amp;A PROJECT\"/>
    </mc:Choice>
  </mc:AlternateContent>
  <xr:revisionPtr revIDLastSave="0" documentId="13_ncr:1_{9324E767-26AC-42E9-92AD-C77E8EEF6D32}" xr6:coauthVersionLast="43" xr6:coauthVersionMax="43" xr10:uidLastSave="{00000000-0000-0000-0000-000000000000}"/>
  <bookViews>
    <workbookView xWindow="-120" yWindow="-120" windowWidth="29040" windowHeight="15720" firstSheet="4" activeTab="12" xr2:uid="{6A8D646A-7D6F-4510-B8F9-1CB19FD96CB3}"/>
  </bookViews>
  <sheets>
    <sheet name="1.INPUT " sheetId="1" r:id="rId1"/>
    <sheet name="P&amp;L ASSUMPTION " sheetId="2" r:id="rId2"/>
    <sheet name="BALANCE SHEET ASSUMPTION" sheetId="3" r:id="rId3"/>
    <sheet name="2.OUTPUT" sheetId="4" r:id="rId4"/>
    <sheet name="P&amp;L" sheetId="5" r:id="rId5"/>
    <sheet name="BALANCE SHEET" sheetId="6" r:id="rId6"/>
    <sheet name="DCF VALUTATION" sheetId="12" r:id="rId7"/>
    <sheet name="PE RATIO" sheetId="13" r:id="rId8"/>
    <sheet name="CASH FLOW  " sheetId="7" r:id="rId9"/>
    <sheet name="WACC " sheetId="8" r:id="rId10"/>
    <sheet name="3.SOURCE" sheetId="9" r:id="rId11"/>
    <sheet name="INCOME STATEMENT" sheetId="10" r:id="rId12"/>
    <sheet name="BALANCE  SHEET" sheetId="11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30" i="8" l="1"/>
  <c r="C3" i="12"/>
  <c r="E11" i="13" l="1"/>
  <c r="E12" i="13"/>
  <c r="E13" i="13"/>
  <c r="E14" i="13"/>
  <c r="E15" i="13"/>
  <c r="E10" i="13"/>
  <c r="E5" i="13"/>
  <c r="E6" i="13"/>
  <c r="E7" i="13"/>
  <c r="E4" i="13"/>
  <c r="C27" i="12"/>
  <c r="C28" i="12"/>
  <c r="C29" i="12"/>
  <c r="C30" i="12"/>
  <c r="C26" i="12"/>
  <c r="B27" i="12"/>
  <c r="B28" i="12"/>
  <c r="B29" i="12"/>
  <c r="B30" i="12"/>
  <c r="B26" i="12"/>
  <c r="C25" i="12"/>
  <c r="C19" i="12"/>
  <c r="C20" i="12"/>
  <c r="C21" i="12"/>
  <c r="C22" i="12"/>
  <c r="C23" i="12"/>
  <c r="C24" i="12"/>
  <c r="C18" i="12"/>
  <c r="C16" i="12"/>
  <c r="B19" i="12"/>
  <c r="B20" i="12"/>
  <c r="B21" i="12"/>
  <c r="B22" i="12"/>
  <c r="B23" i="12"/>
  <c r="B24" i="12"/>
  <c r="B18" i="12"/>
  <c r="C19" i="8"/>
  <c r="C6" i="8"/>
  <c r="C5" i="8"/>
  <c r="C27" i="8"/>
  <c r="C29" i="8"/>
  <c r="C12" i="8"/>
  <c r="C10" i="8"/>
  <c r="I6" i="8"/>
  <c r="J6" i="8"/>
  <c r="I7" i="8"/>
  <c r="J7" i="8"/>
  <c r="I8" i="8"/>
  <c r="J8" i="8"/>
  <c r="I9" i="8"/>
  <c r="J9" i="8"/>
  <c r="I10" i="8"/>
  <c r="J10" i="8"/>
  <c r="I11" i="8"/>
  <c r="J11" i="8"/>
  <c r="I12" i="8"/>
  <c r="J12" i="8"/>
  <c r="I13" i="8"/>
  <c r="J13" i="8"/>
  <c r="I14" i="8"/>
  <c r="J14" i="8"/>
  <c r="I15" i="8"/>
  <c r="J15" i="8"/>
  <c r="I16" i="8"/>
  <c r="J16" i="8"/>
  <c r="I17" i="8"/>
  <c r="J17" i="8"/>
  <c r="I18" i="8"/>
  <c r="J18" i="8"/>
  <c r="I19" i="8"/>
  <c r="J19" i="8"/>
  <c r="I20" i="8"/>
  <c r="J20" i="8"/>
  <c r="I21" i="8"/>
  <c r="J21" i="8"/>
  <c r="I22" i="8"/>
  <c r="J22" i="8"/>
  <c r="I23" i="8"/>
  <c r="J23" i="8"/>
  <c r="I24" i="8"/>
  <c r="J24" i="8"/>
  <c r="I25" i="8"/>
  <c r="J25" i="8"/>
  <c r="I26" i="8"/>
  <c r="J26" i="8"/>
  <c r="I27" i="8"/>
  <c r="J27" i="8"/>
  <c r="I28" i="8"/>
  <c r="J28" i="8"/>
  <c r="I29" i="8"/>
  <c r="J29" i="8"/>
  <c r="I30" i="8"/>
  <c r="J30" i="8"/>
  <c r="I31" i="8"/>
  <c r="J31" i="8"/>
  <c r="I32" i="8"/>
  <c r="J32" i="8"/>
  <c r="I33" i="8"/>
  <c r="J33" i="8"/>
  <c r="I34" i="8"/>
  <c r="J34" i="8"/>
  <c r="I35" i="8"/>
  <c r="J35" i="8"/>
  <c r="I36" i="8"/>
  <c r="J36" i="8"/>
  <c r="I37" i="8"/>
  <c r="J37" i="8"/>
  <c r="I38" i="8"/>
  <c r="J38" i="8"/>
  <c r="I39" i="8"/>
  <c r="J39" i="8"/>
  <c r="I40" i="8"/>
  <c r="J40" i="8"/>
  <c r="I41" i="8"/>
  <c r="J41" i="8"/>
  <c r="I42" i="8"/>
  <c r="J42" i="8"/>
  <c r="I43" i="8"/>
  <c r="J43" i="8"/>
  <c r="I44" i="8"/>
  <c r="J44" i="8"/>
  <c r="I45" i="8"/>
  <c r="J45" i="8"/>
  <c r="I46" i="8"/>
  <c r="J46" i="8"/>
  <c r="I47" i="8"/>
  <c r="J47" i="8"/>
  <c r="I48" i="8"/>
  <c r="J48" i="8"/>
  <c r="I49" i="8"/>
  <c r="J49" i="8"/>
  <c r="I50" i="8"/>
  <c r="J50" i="8"/>
  <c r="I51" i="8"/>
  <c r="J51" i="8"/>
  <c r="I52" i="8"/>
  <c r="J52" i="8"/>
  <c r="I53" i="8"/>
  <c r="J53" i="8"/>
  <c r="I54" i="8"/>
  <c r="J54" i="8"/>
  <c r="I55" i="8"/>
  <c r="J55" i="8"/>
  <c r="I56" i="8"/>
  <c r="J56" i="8"/>
  <c r="I57" i="8"/>
  <c r="J57" i="8"/>
  <c r="I58" i="8"/>
  <c r="J58" i="8"/>
  <c r="I59" i="8"/>
  <c r="J59" i="8"/>
  <c r="I60" i="8"/>
  <c r="J60" i="8"/>
  <c r="I61" i="8"/>
  <c r="J61" i="8"/>
  <c r="I62" i="8"/>
  <c r="J62" i="8"/>
  <c r="I63" i="8"/>
  <c r="J63" i="8"/>
  <c r="J5" i="8"/>
  <c r="I5" i="8"/>
  <c r="D8" i="7" l="1"/>
  <c r="E8" i="7"/>
  <c r="F8" i="7"/>
  <c r="G8" i="7"/>
  <c r="C8" i="7"/>
  <c r="D7" i="7"/>
  <c r="E7" i="7"/>
  <c r="F7" i="7"/>
  <c r="G7" i="7"/>
  <c r="C7" i="7"/>
  <c r="D5" i="7"/>
  <c r="E5" i="7"/>
  <c r="F5" i="7"/>
  <c r="G5" i="7"/>
  <c r="C5" i="7"/>
  <c r="E13" i="6"/>
  <c r="F13" i="6"/>
  <c r="G13" i="6"/>
  <c r="H13" i="6"/>
  <c r="D13" i="6"/>
  <c r="D12" i="6"/>
  <c r="E12" i="6"/>
  <c r="F12" i="6"/>
  <c r="G12" i="6"/>
  <c r="H12" i="6"/>
  <c r="C12" i="6"/>
  <c r="D11" i="6"/>
  <c r="E11" i="6"/>
  <c r="F11" i="6"/>
  <c r="G11" i="6"/>
  <c r="H11" i="6"/>
  <c r="D10" i="6"/>
  <c r="E10" i="6"/>
  <c r="F10" i="6"/>
  <c r="G10" i="6"/>
  <c r="H10" i="6"/>
  <c r="D9" i="6"/>
  <c r="E9" i="6"/>
  <c r="F9" i="6"/>
  <c r="G9" i="6"/>
  <c r="H9" i="6"/>
  <c r="C11" i="6"/>
  <c r="C10" i="6"/>
  <c r="C9" i="6"/>
  <c r="D6" i="6"/>
  <c r="D5" i="6"/>
  <c r="E5" i="6"/>
  <c r="F5" i="6"/>
  <c r="G5" i="6"/>
  <c r="H5" i="6"/>
  <c r="C5" i="6"/>
  <c r="E4" i="6"/>
  <c r="F4" i="6"/>
  <c r="D4" i="6"/>
  <c r="D7" i="6"/>
  <c r="H7" i="6"/>
  <c r="I4" i="6" s="1"/>
  <c r="G7" i="6"/>
  <c r="H4" i="6" s="1"/>
  <c r="F7" i="6"/>
  <c r="G4" i="6" s="1"/>
  <c r="E7" i="6"/>
  <c r="E6" i="6" s="1"/>
  <c r="C7" i="6"/>
  <c r="D14" i="5"/>
  <c r="E14" i="5"/>
  <c r="F14" i="5"/>
  <c r="G14" i="5"/>
  <c r="H14" i="5"/>
  <c r="C14" i="5"/>
  <c r="D11" i="5"/>
  <c r="E11" i="5"/>
  <c r="F11" i="5"/>
  <c r="G11" i="5"/>
  <c r="H11" i="5"/>
  <c r="C11" i="5"/>
  <c r="D9" i="5"/>
  <c r="E9" i="5"/>
  <c r="F9" i="5"/>
  <c r="G9" i="5"/>
  <c r="H9" i="5"/>
  <c r="C9" i="5"/>
  <c r="D8" i="5"/>
  <c r="E8" i="5"/>
  <c r="F8" i="5"/>
  <c r="G8" i="5"/>
  <c r="H8" i="5"/>
  <c r="C8" i="5"/>
  <c r="D7" i="5"/>
  <c r="E7" i="5"/>
  <c r="F7" i="5"/>
  <c r="G7" i="5"/>
  <c r="H7" i="5"/>
  <c r="C7" i="5"/>
  <c r="D5" i="5"/>
  <c r="D6" i="5" s="1"/>
  <c r="D10" i="5" s="1"/>
  <c r="D12" i="5" s="1"/>
  <c r="E5" i="5"/>
  <c r="F5" i="5"/>
  <c r="G5" i="5"/>
  <c r="H5" i="5"/>
  <c r="C5" i="5"/>
  <c r="C6" i="5"/>
  <c r="C10" i="5" s="1"/>
  <c r="C12" i="5" s="1"/>
  <c r="D4" i="5"/>
  <c r="E4" i="5"/>
  <c r="F4" i="5"/>
  <c r="F6" i="5" s="1"/>
  <c r="F10" i="5" s="1"/>
  <c r="F12" i="5" s="1"/>
  <c r="G4" i="5"/>
  <c r="G6" i="5" s="1"/>
  <c r="G10" i="5" s="1"/>
  <c r="G12" i="5" s="1"/>
  <c r="H4" i="5"/>
  <c r="H6" i="5" s="1"/>
  <c r="H10" i="5" s="1"/>
  <c r="H12" i="5" s="1"/>
  <c r="C4" i="5"/>
  <c r="E17" i="3"/>
  <c r="D17" i="3"/>
  <c r="F17" i="3"/>
  <c r="G17" i="3"/>
  <c r="H17" i="3"/>
  <c r="C17" i="3"/>
  <c r="D16" i="3"/>
  <c r="E16" i="3"/>
  <c r="F16" i="3"/>
  <c r="G16" i="3"/>
  <c r="H16" i="3"/>
  <c r="C16" i="3"/>
  <c r="B16" i="3"/>
  <c r="J14" i="3"/>
  <c r="K14" i="3"/>
  <c r="L14" i="3"/>
  <c r="M14" i="3"/>
  <c r="I14" i="3"/>
  <c r="J12" i="3"/>
  <c r="K12" i="3"/>
  <c r="L12" i="3" s="1"/>
  <c r="M12" i="3" s="1"/>
  <c r="J9" i="3"/>
  <c r="K9" i="3" s="1"/>
  <c r="L9" i="3" s="1"/>
  <c r="M9" i="3" s="1"/>
  <c r="J6" i="3"/>
  <c r="K6" i="3"/>
  <c r="L6" i="3"/>
  <c r="M6" i="3" s="1"/>
  <c r="I12" i="3"/>
  <c r="I9" i="3"/>
  <c r="I6" i="3"/>
  <c r="D14" i="3"/>
  <c r="E14" i="3"/>
  <c r="F14" i="3"/>
  <c r="G14" i="3"/>
  <c r="H14" i="3"/>
  <c r="C14" i="3"/>
  <c r="D12" i="3"/>
  <c r="E12" i="3"/>
  <c r="F12" i="3"/>
  <c r="G12" i="3"/>
  <c r="H12" i="3"/>
  <c r="C12" i="3"/>
  <c r="D9" i="3"/>
  <c r="E9" i="3"/>
  <c r="F9" i="3"/>
  <c r="G9" i="3"/>
  <c r="H9" i="3"/>
  <c r="C9" i="3"/>
  <c r="D6" i="3"/>
  <c r="E6" i="3"/>
  <c r="F6" i="3"/>
  <c r="G6" i="3"/>
  <c r="H6" i="3"/>
  <c r="C6" i="3"/>
  <c r="D11" i="3"/>
  <c r="E11" i="3"/>
  <c r="F11" i="3"/>
  <c r="G11" i="3"/>
  <c r="H11" i="3"/>
  <c r="C11" i="3"/>
  <c r="D8" i="3"/>
  <c r="E8" i="3"/>
  <c r="F8" i="3"/>
  <c r="G8" i="3"/>
  <c r="H8" i="3"/>
  <c r="C8" i="3"/>
  <c r="D5" i="3"/>
  <c r="E5" i="3"/>
  <c r="F5" i="3"/>
  <c r="G5" i="3"/>
  <c r="H5" i="3"/>
  <c r="C5" i="3"/>
  <c r="H13" i="5" l="1"/>
  <c r="H15" i="5"/>
  <c r="G4" i="7" s="1"/>
  <c r="G6" i="7" s="1"/>
  <c r="G9" i="7" s="1"/>
  <c r="G7" i="12" s="1"/>
  <c r="G13" i="5"/>
  <c r="G15" i="5"/>
  <c r="F4" i="7" s="1"/>
  <c r="F6" i="7" s="1"/>
  <c r="F9" i="7" s="1"/>
  <c r="F7" i="12" s="1"/>
  <c r="D13" i="5"/>
  <c r="D15" i="5" s="1"/>
  <c r="C4" i="7" s="1"/>
  <c r="C6" i="7" s="1"/>
  <c r="C9" i="7" s="1"/>
  <c r="C7" i="12" s="1"/>
  <c r="F13" i="5"/>
  <c r="F15" i="5" s="1"/>
  <c r="E4" i="7" s="1"/>
  <c r="E6" i="7" s="1"/>
  <c r="E9" i="7" s="1"/>
  <c r="E7" i="12" s="1"/>
  <c r="C13" i="5"/>
  <c r="C15" i="5"/>
  <c r="E6" i="5"/>
  <c r="E10" i="5" s="1"/>
  <c r="E12" i="5" s="1"/>
  <c r="H6" i="6"/>
  <c r="G6" i="6"/>
  <c r="F6" i="6"/>
  <c r="M52" i="2"/>
  <c r="M14" i="5" s="1"/>
  <c r="L52" i="2"/>
  <c r="L14" i="5" s="1"/>
  <c r="K52" i="2"/>
  <c r="K14" i="5" s="1"/>
  <c r="J52" i="2"/>
  <c r="J14" i="5" s="1"/>
  <c r="I52" i="2"/>
  <c r="M46" i="2"/>
  <c r="L46" i="2"/>
  <c r="K46" i="2"/>
  <c r="J46" i="2"/>
  <c r="I46" i="2"/>
  <c r="D46" i="2"/>
  <c r="E46" i="2"/>
  <c r="D45" i="2"/>
  <c r="E45" i="2"/>
  <c r="F45" i="2"/>
  <c r="F46" i="2" s="1"/>
  <c r="G45" i="2"/>
  <c r="H45" i="2"/>
  <c r="H46" i="2" s="1"/>
  <c r="C45" i="2"/>
  <c r="B45" i="2"/>
  <c r="M39" i="2"/>
  <c r="L39" i="2"/>
  <c r="K39" i="2"/>
  <c r="J39" i="2"/>
  <c r="I39" i="2"/>
  <c r="D38" i="2"/>
  <c r="D39" i="2" s="1"/>
  <c r="E38" i="2"/>
  <c r="E39" i="2" s="1"/>
  <c r="F38" i="2"/>
  <c r="F39" i="2" s="1"/>
  <c r="G38" i="2"/>
  <c r="G39" i="2" s="1"/>
  <c r="H38" i="2"/>
  <c r="C38" i="2"/>
  <c r="B38" i="2"/>
  <c r="J32" i="2"/>
  <c r="K32" i="2"/>
  <c r="L32" i="2"/>
  <c r="M32" i="2"/>
  <c r="G32" i="2"/>
  <c r="C24" i="2"/>
  <c r="I32" i="2"/>
  <c r="D31" i="2"/>
  <c r="D32" i="2" s="1"/>
  <c r="E31" i="2"/>
  <c r="E32" i="2" s="1"/>
  <c r="F31" i="2"/>
  <c r="F32" i="2" s="1"/>
  <c r="G31" i="2"/>
  <c r="H31" i="2"/>
  <c r="C31" i="2"/>
  <c r="B31" i="2"/>
  <c r="J27" i="2"/>
  <c r="K27" i="2"/>
  <c r="L27" i="2"/>
  <c r="M27" i="2"/>
  <c r="I27" i="2"/>
  <c r="I28" i="2"/>
  <c r="D23" i="2"/>
  <c r="D24" i="2" s="1"/>
  <c r="E23" i="2"/>
  <c r="F23" i="2"/>
  <c r="G23" i="2"/>
  <c r="H23" i="2"/>
  <c r="C23" i="2"/>
  <c r="B23" i="2"/>
  <c r="J16" i="2"/>
  <c r="I16" i="2"/>
  <c r="D16" i="2"/>
  <c r="E16" i="2"/>
  <c r="F16" i="2"/>
  <c r="G16" i="2"/>
  <c r="C15" i="2"/>
  <c r="C16" i="2" s="1"/>
  <c r="D15" i="2"/>
  <c r="E15" i="2"/>
  <c r="E24" i="2" s="1"/>
  <c r="F15" i="2"/>
  <c r="F24" i="2" s="1"/>
  <c r="G15" i="2"/>
  <c r="G24" i="2" s="1"/>
  <c r="H15" i="2"/>
  <c r="H16" i="2" s="1"/>
  <c r="J8" i="2"/>
  <c r="K8" i="2"/>
  <c r="L8" i="2"/>
  <c r="M8" i="2"/>
  <c r="I8" i="2"/>
  <c r="D7" i="2"/>
  <c r="D8" i="2" s="1"/>
  <c r="E7" i="2"/>
  <c r="E8" i="2" s="1"/>
  <c r="F7" i="2"/>
  <c r="F8" i="2" s="1"/>
  <c r="G7" i="2"/>
  <c r="G8" i="2" s="1"/>
  <c r="H7" i="2"/>
  <c r="H8" i="2" s="1"/>
  <c r="C7" i="2"/>
  <c r="C32" i="2" s="1"/>
  <c r="E13" i="5" l="1"/>
  <c r="E15" i="5" s="1"/>
  <c r="D4" i="7" s="1"/>
  <c r="D6" i="7" s="1"/>
  <c r="D9" i="7" s="1"/>
  <c r="D7" i="12" s="1"/>
  <c r="C15" i="8"/>
  <c r="C16" i="8" s="1"/>
  <c r="C20" i="8" s="1"/>
  <c r="C22" i="8" s="1"/>
  <c r="I14" i="5"/>
  <c r="H32" i="2"/>
  <c r="C46" i="2"/>
  <c r="C39" i="2"/>
  <c r="G46" i="2"/>
  <c r="H24" i="2"/>
  <c r="I26" i="2" s="1"/>
  <c r="H39" i="2"/>
  <c r="I7" i="2"/>
  <c r="K16" i="2"/>
  <c r="L8" i="12" l="1"/>
  <c r="K8" i="12"/>
  <c r="J8" i="12"/>
  <c r="I8" i="12"/>
  <c r="H8" i="12"/>
  <c r="I5" i="3"/>
  <c r="I9" i="6" s="1"/>
  <c r="I16" i="3"/>
  <c r="I7" i="6" s="1"/>
  <c r="I4" i="5"/>
  <c r="I15" i="2"/>
  <c r="I5" i="5" s="1"/>
  <c r="I31" i="2"/>
  <c r="I8" i="5" s="1"/>
  <c r="I45" i="2"/>
  <c r="J28" i="2"/>
  <c r="I24" i="2"/>
  <c r="J7" i="2"/>
  <c r="I38" i="2"/>
  <c r="I9" i="5" s="1"/>
  <c r="L16" i="2"/>
  <c r="J4" i="6" l="1"/>
  <c r="I11" i="5"/>
  <c r="I5" i="6"/>
  <c r="H5" i="7" s="1"/>
  <c r="J4" i="5"/>
  <c r="J16" i="3"/>
  <c r="J7" i="6" s="1"/>
  <c r="J5" i="3"/>
  <c r="J9" i="6" s="1"/>
  <c r="I11" i="3"/>
  <c r="I10" i="6" s="1"/>
  <c r="I8" i="3"/>
  <c r="I11" i="6" s="1"/>
  <c r="I6" i="5"/>
  <c r="I10" i="5" s="1"/>
  <c r="I12" i="5" s="1"/>
  <c r="J15" i="2"/>
  <c r="J5" i="5" s="1"/>
  <c r="J31" i="2"/>
  <c r="J8" i="5" s="1"/>
  <c r="J45" i="2"/>
  <c r="I23" i="2"/>
  <c r="I7" i="5" s="1"/>
  <c r="J26" i="2"/>
  <c r="M16" i="2"/>
  <c r="K7" i="2"/>
  <c r="J38" i="2"/>
  <c r="J9" i="5" s="1"/>
  <c r="I12" i="6" l="1"/>
  <c r="I13" i="6" s="1"/>
  <c r="H8" i="7" s="1"/>
  <c r="I13" i="5"/>
  <c r="I15" i="5"/>
  <c r="H4" i="7" s="1"/>
  <c r="H6" i="7" s="1"/>
  <c r="J11" i="5"/>
  <c r="J5" i="6"/>
  <c r="I5" i="7" s="1"/>
  <c r="I6" i="6"/>
  <c r="H7" i="7" s="1"/>
  <c r="J6" i="6"/>
  <c r="I7" i="7" s="1"/>
  <c r="K4" i="6"/>
  <c r="J6" i="5"/>
  <c r="J8" i="3"/>
  <c r="J11" i="6" s="1"/>
  <c r="J11" i="3"/>
  <c r="J10" i="6" s="1"/>
  <c r="K16" i="3"/>
  <c r="K7" i="6" s="1"/>
  <c r="K4" i="5"/>
  <c r="K5" i="3"/>
  <c r="K9" i="6" s="1"/>
  <c r="K15" i="2"/>
  <c r="K5" i="5" s="1"/>
  <c r="K31" i="2"/>
  <c r="K8" i="5" s="1"/>
  <c r="K45" i="2"/>
  <c r="K28" i="2"/>
  <c r="J24" i="2"/>
  <c r="L7" i="2"/>
  <c r="K38" i="2"/>
  <c r="K9" i="5" s="1"/>
  <c r="J12" i="6" l="1"/>
  <c r="J13" i="6" s="1"/>
  <c r="I8" i="7" s="1"/>
  <c r="L4" i="6"/>
  <c r="H9" i="7"/>
  <c r="H7" i="12" s="1"/>
  <c r="H9" i="12" s="1"/>
  <c r="K11" i="5"/>
  <c r="K5" i="6"/>
  <c r="J5" i="7" s="1"/>
  <c r="K6" i="5"/>
  <c r="L5" i="3"/>
  <c r="L9" i="6" s="1"/>
  <c r="L16" i="3"/>
  <c r="L7" i="6" s="1"/>
  <c r="M4" i="6" s="1"/>
  <c r="L4" i="5"/>
  <c r="K8" i="3"/>
  <c r="K11" i="6" s="1"/>
  <c r="K11" i="3"/>
  <c r="K10" i="6" s="1"/>
  <c r="L15" i="2"/>
  <c r="L5" i="5" s="1"/>
  <c r="L31" i="2"/>
  <c r="L8" i="5" s="1"/>
  <c r="L45" i="2"/>
  <c r="K26" i="2"/>
  <c r="J23" i="2"/>
  <c r="J7" i="5" s="1"/>
  <c r="J10" i="5" s="1"/>
  <c r="J12" i="5" s="1"/>
  <c r="M7" i="2"/>
  <c r="L38" i="2"/>
  <c r="L9" i="5" s="1"/>
  <c r="K12" i="6" l="1"/>
  <c r="K13" i="6" s="1"/>
  <c r="J8" i="7" s="1"/>
  <c r="L6" i="5"/>
  <c r="J13" i="5"/>
  <c r="J15" i="5"/>
  <c r="I4" i="7" s="1"/>
  <c r="I6" i="7" s="1"/>
  <c r="I9" i="7" s="1"/>
  <c r="I7" i="12" s="1"/>
  <c r="I9" i="12" s="1"/>
  <c r="L11" i="5"/>
  <c r="L5" i="6"/>
  <c r="K5" i="7" s="1"/>
  <c r="K6" i="6"/>
  <c r="J7" i="7" s="1"/>
  <c r="M16" i="3"/>
  <c r="M7" i="6" s="1"/>
  <c r="M5" i="3"/>
  <c r="M9" i="6" s="1"/>
  <c r="M4" i="5"/>
  <c r="L11" i="3"/>
  <c r="L10" i="6" s="1"/>
  <c r="L12" i="6" s="1"/>
  <c r="L13" i="6" s="1"/>
  <c r="K8" i="7" s="1"/>
  <c r="L8" i="3"/>
  <c r="L11" i="6" s="1"/>
  <c r="M15" i="2"/>
  <c r="M5" i="5" s="1"/>
  <c r="M31" i="2"/>
  <c r="M8" i="5" s="1"/>
  <c r="M45" i="2"/>
  <c r="K24" i="2"/>
  <c r="L28" i="2"/>
  <c r="M38" i="2"/>
  <c r="M9" i="5" s="1"/>
  <c r="L6" i="6" l="1"/>
  <c r="K7" i="7" s="1"/>
  <c r="M11" i="5"/>
  <c r="M5" i="6"/>
  <c r="L5" i="7" s="1"/>
  <c r="M6" i="5"/>
  <c r="M11" i="3"/>
  <c r="M10" i="6" s="1"/>
  <c r="M8" i="3"/>
  <c r="M11" i="6" s="1"/>
  <c r="L26" i="2"/>
  <c r="K23" i="2"/>
  <c r="K7" i="5" s="1"/>
  <c r="K10" i="5" s="1"/>
  <c r="K12" i="5" s="1"/>
  <c r="M12" i="6" l="1"/>
  <c r="M13" i="6" s="1"/>
  <c r="L8" i="7" s="1"/>
  <c r="K13" i="5"/>
  <c r="K15" i="5" s="1"/>
  <c r="J4" i="7" s="1"/>
  <c r="J6" i="7" s="1"/>
  <c r="J9" i="7" s="1"/>
  <c r="J7" i="12" s="1"/>
  <c r="J9" i="12" s="1"/>
  <c r="M6" i="6"/>
  <c r="L7" i="7" s="1"/>
  <c r="L24" i="2"/>
  <c r="M28" i="2"/>
  <c r="L23" i="2" l="1"/>
  <c r="L7" i="5" s="1"/>
  <c r="L10" i="5" s="1"/>
  <c r="L12" i="5" s="1"/>
  <c r="M26" i="2"/>
  <c r="M24" i="2" s="1"/>
  <c r="M23" i="2" s="1"/>
  <c r="M7" i="5" s="1"/>
  <c r="M10" i="5" s="1"/>
  <c r="M12" i="5" s="1"/>
  <c r="M13" i="5" l="1"/>
  <c r="M15" i="5" s="1"/>
  <c r="L4" i="7" s="1"/>
  <c r="L6" i="7" s="1"/>
  <c r="L9" i="7" s="1"/>
  <c r="L7" i="12" s="1"/>
  <c r="L13" i="5"/>
  <c r="L15" i="5" s="1"/>
  <c r="K4" i="7" s="1"/>
  <c r="K6" i="7" s="1"/>
  <c r="K9" i="7" s="1"/>
  <c r="K7" i="12" s="1"/>
  <c r="K9" i="12" s="1"/>
  <c r="C12" i="12" l="1"/>
  <c r="C13" i="12" s="1"/>
  <c r="L9" i="12"/>
  <c r="C11" i="12" s="1"/>
  <c r="C14" i="12" l="1"/>
  <c r="D13" i="12"/>
  <c r="H14" i="12" l="1"/>
  <c r="C31" i="12"/>
  <c r="C33" i="12" s="1"/>
  <c r="D11" i="12"/>
</calcChain>
</file>

<file path=xl/sharedStrings.xml><?xml version="1.0" encoding="utf-8"?>
<sst xmlns="http://schemas.openxmlformats.org/spreadsheetml/2006/main" count="334" uniqueCount="193">
  <si>
    <t>1.INPUT</t>
  </si>
  <si>
    <t>2.OUTPUT</t>
  </si>
  <si>
    <t>3.SOURCE</t>
  </si>
  <si>
    <t>P&amp;L assumptions</t>
  </si>
  <si>
    <t>Scenarios:</t>
  </si>
  <si>
    <t>Case 1</t>
  </si>
  <si>
    <t>Optimistic</t>
  </si>
  <si>
    <t>Higher than historical average</t>
  </si>
  <si>
    <t>Case 2</t>
  </si>
  <si>
    <t>Base</t>
  </si>
  <si>
    <t>Historical average</t>
  </si>
  <si>
    <t>Case 3</t>
  </si>
  <si>
    <t xml:space="preserve">Worst </t>
  </si>
  <si>
    <t>Worse than historical average</t>
  </si>
  <si>
    <t>INR in Crores</t>
  </si>
  <si>
    <t>FY14
Actual</t>
  </si>
  <si>
    <t>FY15
Actual</t>
  </si>
  <si>
    <t>FY16
Actual</t>
  </si>
  <si>
    <t>FY17
Actual</t>
  </si>
  <si>
    <t>FY18
Actual</t>
  </si>
  <si>
    <t>FY19
Actual</t>
  </si>
  <si>
    <t>FY20
Forecast</t>
  </si>
  <si>
    <t>FY21
Forecast</t>
  </si>
  <si>
    <t>FY22
Forecast</t>
  </si>
  <si>
    <t>FY23
Forecast</t>
  </si>
  <si>
    <t>FY24
Forecast</t>
  </si>
  <si>
    <t>FY14</t>
  </si>
  <si>
    <t>FY15</t>
  </si>
  <si>
    <t>FY16</t>
  </si>
  <si>
    <t>FY17</t>
  </si>
  <si>
    <t>FY18</t>
  </si>
  <si>
    <t>FY19</t>
  </si>
  <si>
    <t>FY20</t>
  </si>
  <si>
    <t>FY21</t>
  </si>
  <si>
    <t>FY22</t>
  </si>
  <si>
    <t>FY23</t>
  </si>
  <si>
    <t>FY24</t>
  </si>
  <si>
    <t>BS assumptions</t>
  </si>
  <si>
    <t>P&amp;L</t>
  </si>
  <si>
    <t>Note</t>
  </si>
  <si>
    <t>Net Revenues</t>
  </si>
  <si>
    <t>Cost of goods sold</t>
  </si>
  <si>
    <t>Gross Margin</t>
  </si>
  <si>
    <t>Excise duty</t>
  </si>
  <si>
    <t>Employee benefits expenses</t>
  </si>
  <si>
    <t>Other expenses</t>
  </si>
  <si>
    <t>EBITDA</t>
  </si>
  <si>
    <t>D&amp;A</t>
  </si>
  <si>
    <t>EBIT</t>
  </si>
  <si>
    <t>Taxes</t>
  </si>
  <si>
    <t>Tax rate</t>
  </si>
  <si>
    <t>Net Operating Profit After Taxes (NOPAT)</t>
  </si>
  <si>
    <t>Balance Sheet</t>
  </si>
  <si>
    <t>Beginning PP&amp;E</t>
  </si>
  <si>
    <t>Depreciation</t>
  </si>
  <si>
    <t>Capex</t>
  </si>
  <si>
    <t>Ending Value (PPE)</t>
  </si>
  <si>
    <t xml:space="preserve">Accounts Receivable </t>
  </si>
  <si>
    <t>Inventory</t>
  </si>
  <si>
    <t>Accounts Payable</t>
  </si>
  <si>
    <t>Working capital</t>
  </si>
  <si>
    <t>Changes in working capital</t>
  </si>
  <si>
    <t>Cash Flow</t>
  </si>
  <si>
    <t>.</t>
  </si>
  <si>
    <t>Add: D&amp;A</t>
  </si>
  <si>
    <t>Gross Cash Flow</t>
  </si>
  <si>
    <t>Less: Capex</t>
  </si>
  <si>
    <t>Less: Investment in Working Capital</t>
  </si>
  <si>
    <t>Net Cash Flow</t>
  </si>
  <si>
    <t>DCF Valuation</t>
  </si>
  <si>
    <t>WACC</t>
  </si>
  <si>
    <t>Terminal Growth</t>
  </si>
  <si>
    <t>Discount factor</t>
  </si>
  <si>
    <t>Present Value</t>
  </si>
  <si>
    <t>Income Statement</t>
  </si>
  <si>
    <t>INR (cr)</t>
  </si>
  <si>
    <t>Particulars</t>
  </si>
  <si>
    <t>Revenue from operations</t>
  </si>
  <si>
    <t>Operating item</t>
  </si>
  <si>
    <t>Operating expenses</t>
  </si>
  <si>
    <t>Cost of materials consumed</t>
  </si>
  <si>
    <t>Excise duty on sale of goods</t>
  </si>
  <si>
    <t>Total operating expenses</t>
  </si>
  <si>
    <t>Depreciation and amortisation expenses</t>
  </si>
  <si>
    <t>Other income</t>
  </si>
  <si>
    <t>Non Operating item</t>
  </si>
  <si>
    <t>Finance costs</t>
  </si>
  <si>
    <t>Share in profit/(loss) of associates, net of tax</t>
  </si>
  <si>
    <t>Gain on dilution of interest in an associate</t>
  </si>
  <si>
    <t>Minority interest profit/(loss)</t>
  </si>
  <si>
    <t>Profit before tax</t>
  </si>
  <si>
    <t>Tax expense</t>
  </si>
  <si>
    <t>Profit after tax / Net profit</t>
  </si>
  <si>
    <t>ASSETS</t>
  </si>
  <si>
    <t>NON-CURRENT ASSETS</t>
  </si>
  <si>
    <t>Property, plant and equipment</t>
  </si>
  <si>
    <t>Capital work-in-progress</t>
  </si>
  <si>
    <t>Intangible assets</t>
  </si>
  <si>
    <t>Intangible assets under development</t>
  </si>
  <si>
    <t>Equity accounted investments in associates</t>
  </si>
  <si>
    <t>Investments</t>
  </si>
  <si>
    <t>Loans to employees</t>
  </si>
  <si>
    <t>Security deposits</t>
  </si>
  <si>
    <t>Deferred tax assets (net)</t>
  </si>
  <si>
    <t>Income tax assets (net)</t>
  </si>
  <si>
    <t>Other non-current assets</t>
  </si>
  <si>
    <t>Total Non-Current Assets</t>
  </si>
  <si>
    <t>CURRENT ASSETS</t>
  </si>
  <si>
    <t>Inventories</t>
  </si>
  <si>
    <t>Non-Operating item</t>
  </si>
  <si>
    <t>Trade receivables</t>
  </si>
  <si>
    <t>Cash and cash equivalents</t>
  </si>
  <si>
    <t xml:space="preserve">Bank balances  </t>
  </si>
  <si>
    <t>Others Financial Assets</t>
  </si>
  <si>
    <t>Other current assets</t>
  </si>
  <si>
    <t>Total Current Assets</t>
  </si>
  <si>
    <t>TOTAL ASSETS</t>
  </si>
  <si>
    <t>LIABILITIES</t>
  </si>
  <si>
    <t>NON-CURRENT LIABILITIES</t>
  </si>
  <si>
    <t>Equity share capital</t>
  </si>
  <si>
    <t>Other equity</t>
  </si>
  <si>
    <t>Non-controlling interests</t>
  </si>
  <si>
    <t>LT Debt</t>
  </si>
  <si>
    <t>Employee benefits</t>
  </si>
  <si>
    <t>Other long - term liabilities</t>
  </si>
  <si>
    <t>Warranties</t>
  </si>
  <si>
    <t>Deferred tax liabilities (net)</t>
  </si>
  <si>
    <t>Total Non-Current Liabilities</t>
  </si>
  <si>
    <t>CURRENT LIABILITIES</t>
  </si>
  <si>
    <t>ST Debt</t>
  </si>
  <si>
    <t>Trade payables</t>
  </si>
  <si>
    <t>Other financial liabilities</t>
  </si>
  <si>
    <t>Security deposits dealers and others</t>
  </si>
  <si>
    <t>Other current liabilities</t>
  </si>
  <si>
    <t>Total Current Liabilities</t>
  </si>
  <si>
    <t>TOTAL LIABILITIES</t>
  </si>
  <si>
    <t xml:space="preserve">Selected case </t>
  </si>
  <si>
    <t xml:space="preserve">REVENUE </t>
  </si>
  <si>
    <t>REVENUE GROWTH %</t>
  </si>
  <si>
    <t>%SALES</t>
  </si>
  <si>
    <t>SALES%</t>
  </si>
  <si>
    <t>TAX%</t>
  </si>
  <si>
    <t>HEROMOTOCORP LTD</t>
  </si>
  <si>
    <t xml:space="preserve">ACCOUNTS RECEVIABLE </t>
  </si>
  <si>
    <t>DSO</t>
  </si>
  <si>
    <t xml:space="preserve">ACCONTS PAYABLE </t>
  </si>
  <si>
    <t>DPO</t>
  </si>
  <si>
    <t xml:space="preserve">INVENTORY </t>
  </si>
  <si>
    <t>DIO</t>
  </si>
  <si>
    <t>CCC</t>
  </si>
  <si>
    <t xml:space="preserve">Cost of Capital  </t>
  </si>
  <si>
    <t>Key Inputs:</t>
  </si>
  <si>
    <t>Total Equity to Capital</t>
  </si>
  <si>
    <t>Net Debt to Capital</t>
  </si>
  <si>
    <t>Calculations:</t>
  </si>
  <si>
    <t>Risk Free Rate</t>
  </si>
  <si>
    <t>Equity Beta</t>
  </si>
  <si>
    <t>Market Risk Premium</t>
  </si>
  <si>
    <t>Cost of Equity</t>
  </si>
  <si>
    <t>Pre-tax cost of debt</t>
  </si>
  <si>
    <t>Marginal Tax Rate</t>
  </si>
  <si>
    <t>Cost of Debt</t>
  </si>
  <si>
    <t>Weighted Cost of Equity</t>
  </si>
  <si>
    <t>Weighted Cost of Debt</t>
  </si>
  <si>
    <t>Weighted Average Cost of Capital</t>
  </si>
  <si>
    <t>Shares outstanding</t>
  </si>
  <si>
    <t>Share price</t>
  </si>
  <si>
    <t>Market Cap</t>
  </si>
  <si>
    <t>Debt</t>
  </si>
  <si>
    <t>Date</t>
  </si>
  <si>
    <t>Hero MotoCorp Share price</t>
  </si>
  <si>
    <t>NSE500</t>
  </si>
  <si>
    <t>Hero MotoCorp monthly return</t>
  </si>
  <si>
    <t>DCF VALUE</t>
  </si>
  <si>
    <t>CONTINUING VALUE</t>
  </si>
  <si>
    <t>PRESENT VALUE OF CV</t>
  </si>
  <si>
    <t xml:space="preserve">ENTERPRISE VALUE </t>
  </si>
  <si>
    <t>SENSITIVITY ANALYSIS</t>
  </si>
  <si>
    <t>LESS</t>
  </si>
  <si>
    <t>DEBT</t>
  </si>
  <si>
    <t>ADD</t>
  </si>
  <si>
    <t>EQUITY VALUE</t>
  </si>
  <si>
    <t xml:space="preserve">SHARE OUTSTANDING </t>
  </si>
  <si>
    <t>Price to Earning ratio</t>
  </si>
  <si>
    <t>Company</t>
  </si>
  <si>
    <t xml:space="preserve">Price </t>
  </si>
  <si>
    <t>EPS</t>
  </si>
  <si>
    <t>PE</t>
  </si>
  <si>
    <t>Hero MotoCorp</t>
  </si>
  <si>
    <t>Eicher Motors</t>
  </si>
  <si>
    <t>TVS Motor</t>
  </si>
  <si>
    <t>Bajaj Auto</t>
  </si>
  <si>
    <t>intrinsic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</si>
</sst>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(* #,##0.0_);_(* \(#,##0.0\);_(* &quot;-&quot;?_);@_)"/>
    <numFmt numFmtId="165" formatCode="_(* #,##0_);_(* \(#,##0\);_(* &quot;-&quot;?_);@_)"/>
    <numFmt numFmtId="166" formatCode="0.0%"/>
    <numFmt numFmtId="167" formatCode="_(* #,##0_);_(* \(#,##0\);_(* &quot;-&quot;??_);_(@_)"/>
    <numFmt numFmtId="168" formatCode="_(* #,##0.0_);_(* \(#,##0.0\);_(* &quot;-&quot;?_);@_l"/>
    <numFmt numFmtId="169" formatCode="_(* #,##0.0_);_(* \(#,##0.0\);_(* &quot;-&quot;??_);_(@_)"/>
    <numFmt numFmtId="170" formatCode="_(* #,##0_);_(* \(#,##0\);_(* &quot;-&quot;?_);@_l"/>
    <numFmt numFmtId="171" formatCode="0.000"/>
    <numFmt numFmtId="172" formatCode="0.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sz val="12"/>
      <color theme="1"/>
      <name val="Calibri"/>
      <family val="2"/>
      <scheme val="minor"/>
    </font>
    <font>
      <sz val="20"/>
      <color theme="1"/>
      <name val="Arial Black"/>
      <family val="2"/>
    </font>
    <font>
      <sz val="22"/>
      <color theme="1"/>
      <name val="Arial Black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color theme="8" tint="-0.249977111117893"/>
      <name val="Calibri"/>
      <family val="2"/>
      <scheme val="minor"/>
    </font>
    <font>
      <b/>
      <sz val="14"/>
      <color rgb="FF002060"/>
      <name val="Arial"/>
      <family val="2"/>
    </font>
    <font>
      <sz val="14"/>
      <color theme="1"/>
      <name val="Arial"/>
      <family val="2"/>
    </font>
    <font>
      <b/>
      <sz val="14"/>
      <color theme="0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b/>
      <sz val="14"/>
      <color theme="4"/>
      <name val="Arial"/>
      <family val="2"/>
    </font>
    <font>
      <sz val="14"/>
      <color theme="0"/>
      <name val="Arial"/>
      <family val="2"/>
    </font>
    <font>
      <sz val="14"/>
      <color rgb="FF000000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3" tint="-0.499984740745262"/>
      <name val="Arial"/>
      <family val="2"/>
    </font>
    <font>
      <sz val="11"/>
      <color theme="3" tint="-0.499984740745262"/>
      <name val="Calibri"/>
      <family val="2"/>
      <scheme val="minor"/>
    </font>
    <font>
      <b/>
      <sz val="11"/>
      <color theme="5"/>
      <name val="Arial Black"/>
      <family val="2"/>
    </font>
    <font>
      <b/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indexed="9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20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2" tint="-0.24994659260841701"/>
        <bgColor indexed="64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55"/>
      </left>
      <right/>
      <top style="medium">
        <color indexed="55"/>
      </top>
      <bottom/>
      <diagonal/>
    </border>
    <border>
      <left/>
      <right style="medium">
        <color indexed="55"/>
      </right>
      <top style="medium">
        <color indexed="55"/>
      </top>
      <bottom/>
      <diagonal/>
    </border>
    <border>
      <left style="medium">
        <color indexed="55"/>
      </left>
      <right/>
      <top/>
      <bottom/>
      <diagonal/>
    </border>
    <border>
      <left/>
      <right style="medium">
        <color indexed="55"/>
      </right>
      <top/>
      <bottom/>
      <diagonal/>
    </border>
    <border>
      <left style="medium">
        <color indexed="55"/>
      </left>
      <right/>
      <top style="thin">
        <color auto="1"/>
      </top>
      <bottom/>
      <diagonal/>
    </border>
    <border>
      <left/>
      <right style="medium">
        <color indexed="55"/>
      </right>
      <top style="thin">
        <color auto="1"/>
      </top>
      <bottom/>
      <diagonal/>
    </border>
    <border>
      <left style="medium">
        <color indexed="55"/>
      </left>
      <right/>
      <top style="thin">
        <color auto="1"/>
      </top>
      <bottom style="double">
        <color auto="1"/>
      </bottom>
      <diagonal/>
    </border>
    <border>
      <left/>
      <right style="medium">
        <color indexed="55"/>
      </right>
      <top style="thin">
        <color auto="1"/>
      </top>
      <bottom style="double">
        <color auto="1"/>
      </bottom>
      <diagonal/>
    </border>
    <border>
      <left style="medium">
        <color indexed="55"/>
      </left>
      <right/>
      <top/>
      <bottom style="medium">
        <color indexed="55"/>
      </bottom>
      <diagonal/>
    </border>
    <border>
      <left/>
      <right style="medium">
        <color indexed="55"/>
      </right>
      <top/>
      <bottom style="medium">
        <color indexed="55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208">
    <xf numFmtId="0" fontId="0" fillId="0" borderId="0" xfId="0"/>
    <xf numFmtId="0" fontId="10" fillId="7" borderId="0" xfId="0" applyFont="1" applyFill="1"/>
    <xf numFmtId="0" fontId="17" fillId="7" borderId="0" xfId="0" applyFont="1" applyFill="1"/>
    <xf numFmtId="0" fontId="18" fillId="7" borderId="0" xfId="0" applyFont="1" applyFill="1"/>
    <xf numFmtId="0" fontId="10" fillId="7" borderId="1" xfId="0" applyFont="1" applyFill="1" applyBorder="1"/>
    <xf numFmtId="0" fontId="21" fillId="0" borderId="0" xfId="0" applyFont="1"/>
    <xf numFmtId="0" fontId="0" fillId="0" borderId="4" xfId="0" applyBorder="1"/>
    <xf numFmtId="164" fontId="10" fillId="2" borderId="1" xfId="5" applyNumberFormat="1" applyFont="1" applyFill="1" applyBorder="1" applyAlignment="1">
      <alignment horizontal="right" wrapText="1"/>
    </xf>
    <xf numFmtId="0" fontId="10" fillId="8" borderId="1" xfId="0" applyFont="1" applyFill="1" applyBorder="1" applyAlignment="1">
      <alignment horizontal="right" wrapText="1"/>
    </xf>
    <xf numFmtId="0" fontId="3" fillId="0" borderId="0" xfId="3"/>
    <xf numFmtId="164" fontId="10" fillId="3" borderId="0" xfId="5" applyNumberFormat="1" applyFont="1" applyFill="1"/>
    <xf numFmtId="164" fontId="10" fillId="3" borderId="1" xfId="5" applyNumberFormat="1" applyFont="1" applyFill="1" applyBorder="1"/>
    <xf numFmtId="164" fontId="10" fillId="3" borderId="4" xfId="5" applyNumberFormat="1" applyFont="1" applyFill="1" applyBorder="1" applyAlignment="1">
      <alignment wrapText="1"/>
    </xf>
    <xf numFmtId="0" fontId="3" fillId="0" borderId="0" xfId="3"/>
    <xf numFmtId="164" fontId="10" fillId="3" borderId="0" xfId="5" applyNumberFormat="1" applyFont="1" applyFill="1"/>
    <xf numFmtId="164" fontId="11" fillId="3" borderId="0" xfId="5" applyNumberFormat="1" applyFont="1" applyFill="1"/>
    <xf numFmtId="164" fontId="10" fillId="3" borderId="1" xfId="5" applyNumberFormat="1" applyFont="1" applyFill="1" applyBorder="1"/>
    <xf numFmtId="164" fontId="10" fillId="4" borderId="1" xfId="5" applyNumberFormat="1" applyFont="1" applyFill="1" applyBorder="1" applyAlignment="1">
      <alignment horizontal="right" wrapText="1"/>
    </xf>
    <xf numFmtId="164" fontId="10" fillId="3" borderId="2" xfId="5" applyNumberFormat="1" applyFont="1" applyFill="1" applyBorder="1"/>
    <xf numFmtId="164" fontId="12" fillId="5" borderId="0" xfId="5" applyNumberFormat="1" applyFont="1" applyFill="1"/>
    <xf numFmtId="9" fontId="11" fillId="3" borderId="0" xfId="8" applyFont="1" applyFill="1"/>
    <xf numFmtId="167" fontId="11" fillId="3" borderId="0" xfId="4" applyNumberFormat="1" applyFont="1" applyFill="1"/>
    <xf numFmtId="167" fontId="10" fillId="3" borderId="2" xfId="4" applyNumberFormat="1" applyFont="1" applyFill="1" applyBorder="1"/>
    <xf numFmtId="164" fontId="11" fillId="3" borderId="0" xfId="5" applyNumberFormat="1" applyFont="1" applyFill="1" applyBorder="1"/>
    <xf numFmtId="167" fontId="11" fillId="3" borderId="0" xfId="4" applyNumberFormat="1" applyFont="1" applyFill="1" applyBorder="1"/>
    <xf numFmtId="167" fontId="12" fillId="5" borderId="0" xfId="4" applyNumberFormat="1" applyFont="1" applyFill="1"/>
    <xf numFmtId="0" fontId="20" fillId="7" borderId="0" xfId="0" applyFont="1" applyFill="1"/>
    <xf numFmtId="0" fontId="17" fillId="9" borderId="9" xfId="0" applyFont="1" applyFill="1" applyBorder="1"/>
    <xf numFmtId="0" fontId="3" fillId="0" borderId="0" xfId="3"/>
    <xf numFmtId="164" fontId="10" fillId="3" borderId="0" xfId="5" applyNumberFormat="1" applyFont="1" applyFill="1"/>
    <xf numFmtId="164" fontId="11" fillId="3" borderId="0" xfId="5" applyNumberFormat="1" applyFont="1" applyFill="1"/>
    <xf numFmtId="164" fontId="10" fillId="3" borderId="1" xfId="5" applyNumberFormat="1" applyFont="1" applyFill="1" applyBorder="1"/>
    <xf numFmtId="164" fontId="10" fillId="4" borderId="1" xfId="5" applyNumberFormat="1" applyFont="1" applyFill="1" applyBorder="1" applyAlignment="1">
      <alignment horizontal="right" wrapText="1"/>
    </xf>
    <xf numFmtId="164" fontId="10" fillId="3" borderId="3" xfId="5" applyNumberFormat="1" applyFont="1" applyFill="1" applyBorder="1"/>
    <xf numFmtId="167" fontId="11" fillId="4" borderId="0" xfId="4" applyNumberFormat="1" applyFont="1" applyFill="1"/>
    <xf numFmtId="167" fontId="11" fillId="3" borderId="0" xfId="4" applyNumberFormat="1" applyFont="1" applyFill="1"/>
    <xf numFmtId="164" fontId="13" fillId="3" borderId="6" xfId="5" applyNumberFormat="1" applyFont="1" applyFill="1" applyBorder="1"/>
    <xf numFmtId="167" fontId="10" fillId="3" borderId="1" xfId="4" applyNumberFormat="1" applyFont="1" applyFill="1" applyBorder="1"/>
    <xf numFmtId="167" fontId="10" fillId="3" borderId="3" xfId="4" applyNumberFormat="1" applyFont="1" applyFill="1" applyBorder="1"/>
    <xf numFmtId="167" fontId="13" fillId="3" borderId="6" xfId="4" applyNumberFormat="1" applyFont="1" applyFill="1" applyBorder="1"/>
    <xf numFmtId="0" fontId="3" fillId="0" borderId="0" xfId="3"/>
    <xf numFmtId="164" fontId="11" fillId="3" borderId="0" xfId="5" applyNumberFormat="1" applyFont="1" applyFill="1"/>
    <xf numFmtId="164" fontId="10" fillId="3" borderId="1" xfId="5" applyNumberFormat="1" applyFont="1" applyFill="1" applyBorder="1"/>
    <xf numFmtId="164" fontId="10" fillId="4" borderId="1" xfId="5" applyNumberFormat="1" applyFont="1" applyFill="1" applyBorder="1" applyAlignment="1">
      <alignment horizontal="right" wrapText="1"/>
    </xf>
    <xf numFmtId="164" fontId="10" fillId="3" borderId="1" xfId="5" applyNumberFormat="1" applyFont="1" applyFill="1" applyBorder="1" applyAlignment="1">
      <alignment wrapText="1"/>
    </xf>
    <xf numFmtId="168" fontId="10" fillId="3" borderId="0" xfId="5" applyNumberFormat="1" applyFont="1" applyFill="1"/>
    <xf numFmtId="168" fontId="11" fillId="3" borderId="0" xfId="5" applyNumberFormat="1" applyFont="1" applyFill="1"/>
    <xf numFmtId="167" fontId="11" fillId="3" borderId="0" xfId="4" applyNumberFormat="1" applyFont="1" applyFill="1"/>
    <xf numFmtId="168" fontId="11" fillId="3" borderId="0" xfId="5" applyNumberFormat="1" applyFont="1" applyFill="1" applyBorder="1"/>
    <xf numFmtId="168" fontId="11" fillId="3" borderId="8" xfId="5" applyNumberFormat="1" applyFont="1" applyFill="1" applyBorder="1"/>
    <xf numFmtId="167" fontId="11" fillId="3" borderId="8" xfId="4" applyNumberFormat="1" applyFont="1" applyFill="1" applyBorder="1"/>
    <xf numFmtId="168" fontId="15" fillId="3" borderId="0" xfId="5" applyNumberFormat="1" applyFont="1" applyFill="1"/>
    <xf numFmtId="167" fontId="15" fillId="3" borderId="0" xfId="4" applyNumberFormat="1" applyFont="1" applyFill="1"/>
    <xf numFmtId="168" fontId="15" fillId="3" borderId="5" xfId="5" applyNumberFormat="1" applyFont="1" applyFill="1" applyBorder="1"/>
    <xf numFmtId="170" fontId="11" fillId="3" borderId="0" xfId="5" applyNumberFormat="1" applyFont="1" applyFill="1"/>
    <xf numFmtId="0" fontId="3" fillId="0" borderId="0" xfId="3"/>
    <xf numFmtId="164" fontId="10" fillId="3" borderId="0" xfId="5" applyNumberFormat="1" applyFont="1" applyFill="1"/>
    <xf numFmtId="164" fontId="11" fillId="3" borderId="0" xfId="5" applyNumberFormat="1" applyFont="1" applyFill="1"/>
    <xf numFmtId="164" fontId="10" fillId="3" borderId="1" xfId="5" applyNumberFormat="1" applyFont="1" applyFill="1" applyBorder="1"/>
    <xf numFmtId="164" fontId="10" fillId="4" borderId="1" xfId="5" applyNumberFormat="1" applyFont="1" applyFill="1" applyBorder="1" applyAlignment="1">
      <alignment horizontal="right" wrapText="1"/>
    </xf>
    <xf numFmtId="164" fontId="10" fillId="3" borderId="1" xfId="5" applyNumberFormat="1" applyFont="1" applyFill="1" applyBorder="1" applyAlignment="1">
      <alignment wrapText="1"/>
    </xf>
    <xf numFmtId="167" fontId="11" fillId="3" borderId="0" xfId="4" applyNumberFormat="1" applyFont="1" applyFill="1"/>
    <xf numFmtId="166" fontId="16" fillId="6" borderId="0" xfId="8" applyNumberFormat="1" applyFont="1" applyFill="1"/>
    <xf numFmtId="164" fontId="13" fillId="3" borderId="5" xfId="5" applyNumberFormat="1" applyFont="1" applyFill="1" applyBorder="1"/>
    <xf numFmtId="165" fontId="13" fillId="3" borderId="5" xfId="5" applyNumberFormat="1" applyFont="1" applyFill="1" applyBorder="1"/>
    <xf numFmtId="0" fontId="3" fillId="0" borderId="0" xfId="3"/>
    <xf numFmtId="0" fontId="7" fillId="0" borderId="0" xfId="3" applyFont="1"/>
    <xf numFmtId="0" fontId="8" fillId="0" borderId="0" xfId="3" applyFont="1"/>
    <xf numFmtId="0" fontId="6" fillId="0" borderId="4" xfId="3" applyFont="1" applyBorder="1"/>
    <xf numFmtId="17" fontId="6" fillId="0" borderId="4" xfId="3" applyNumberFormat="1" applyFont="1" applyBorder="1"/>
    <xf numFmtId="0" fontId="3" fillId="0" borderId="6" xfId="3" applyBorder="1"/>
    <xf numFmtId="167" fontId="3" fillId="0" borderId="6" xfId="4" applyNumberFormat="1" applyFont="1" applyBorder="1"/>
    <xf numFmtId="0" fontId="9" fillId="0" borderId="0" xfId="3" applyFont="1" applyAlignment="1">
      <alignment horizontal="center"/>
    </xf>
    <xf numFmtId="167" fontId="3" fillId="0" borderId="0" xfId="4" applyNumberFormat="1" applyFont="1"/>
    <xf numFmtId="0" fontId="3" fillId="0" borderId="4" xfId="3" applyBorder="1"/>
    <xf numFmtId="167" fontId="3" fillId="0" borderId="4" xfId="3" applyNumberFormat="1" applyBorder="1"/>
    <xf numFmtId="167" fontId="3" fillId="0" borderId="4" xfId="4" applyNumberFormat="1" applyFont="1" applyBorder="1"/>
    <xf numFmtId="0" fontId="3" fillId="0" borderId="7" xfId="3" applyBorder="1"/>
    <xf numFmtId="167" fontId="3" fillId="0" borderId="7" xfId="3" applyNumberFormat="1" applyBorder="1"/>
    <xf numFmtId="0" fontId="8" fillId="0" borderId="6" xfId="3" applyFont="1" applyBorder="1"/>
    <xf numFmtId="0" fontId="6" fillId="0" borderId="6" xfId="3" applyFont="1" applyBorder="1"/>
    <xf numFmtId="167" fontId="6" fillId="0" borderId="6" xfId="3" applyNumberFormat="1" applyFont="1" applyBorder="1"/>
    <xf numFmtId="167" fontId="8" fillId="0" borderId="6" xfId="3" applyNumberFormat="1" applyFont="1" applyBorder="1"/>
    <xf numFmtId="167" fontId="6" fillId="0" borderId="4" xfId="3" applyNumberFormat="1" applyFont="1" applyBorder="1"/>
    <xf numFmtId="0" fontId="3" fillId="0" borderId="0" xfId="3"/>
    <xf numFmtId="0" fontId="7" fillId="0" borderId="0" xfId="3" applyFont="1"/>
    <xf numFmtId="0" fontId="8" fillId="0" borderId="0" xfId="3" applyFont="1"/>
    <xf numFmtId="0" fontId="6" fillId="0" borderId="4" xfId="3" applyFont="1" applyBorder="1"/>
    <xf numFmtId="17" fontId="6" fillId="0" borderId="4" xfId="3" applyNumberFormat="1" applyFont="1" applyBorder="1"/>
    <xf numFmtId="0" fontId="9" fillId="0" borderId="0" xfId="3" applyFont="1" applyAlignment="1">
      <alignment horizontal="center"/>
    </xf>
    <xf numFmtId="167" fontId="3" fillId="0" borderId="0" xfId="4" applyNumberFormat="1" applyFont="1"/>
    <xf numFmtId="169" fontId="3" fillId="0" borderId="0" xfId="4" applyNumberFormat="1" applyFont="1"/>
    <xf numFmtId="0" fontId="8" fillId="0" borderId="6" xfId="3" applyFont="1" applyBorder="1"/>
    <xf numFmtId="169" fontId="8" fillId="0" borderId="6" xfId="3" applyNumberFormat="1" applyFont="1" applyBorder="1"/>
    <xf numFmtId="0" fontId="6" fillId="0" borderId="0" xfId="3" applyFont="1"/>
    <xf numFmtId="167" fontId="6" fillId="0" borderId="0" xfId="4" applyNumberFormat="1" applyFont="1"/>
    <xf numFmtId="167" fontId="8" fillId="0" borderId="0" xfId="4" applyNumberFormat="1" applyFont="1"/>
    <xf numFmtId="0" fontId="6" fillId="0" borderId="5" xfId="3" applyFont="1" applyBorder="1"/>
    <xf numFmtId="169" fontId="6" fillId="0" borderId="5" xfId="4" applyNumberFormat="1" applyFont="1" applyBorder="1"/>
    <xf numFmtId="169" fontId="6" fillId="0" borderId="0" xfId="4" applyNumberFormat="1" applyFont="1"/>
    <xf numFmtId="169" fontId="6" fillId="0" borderId="0" xfId="3" applyNumberFormat="1" applyFont="1"/>
    <xf numFmtId="169" fontId="8" fillId="0" borderId="0" xfId="4" applyNumberFormat="1" applyFont="1"/>
    <xf numFmtId="169" fontId="3" fillId="0" borderId="0" xfId="3" applyNumberFormat="1"/>
    <xf numFmtId="9" fontId="0" fillId="0" borderId="0" xfId="2" applyFont="1"/>
    <xf numFmtId="166" fontId="0" fillId="0" borderId="0" xfId="2" applyNumberFormat="1" applyFont="1"/>
    <xf numFmtId="0" fontId="10" fillId="11" borderId="1" xfId="0" applyFont="1" applyFill="1" applyBorder="1" applyAlignment="1">
      <alignment horizontal="right" wrapText="1"/>
    </xf>
    <xf numFmtId="0" fontId="0" fillId="12" borderId="0" xfId="0" applyFill="1"/>
    <xf numFmtId="9" fontId="0" fillId="12" borderId="0" xfId="0" applyNumberFormat="1" applyFill="1"/>
    <xf numFmtId="0" fontId="0" fillId="10" borderId="0" xfId="0" applyFill="1" applyBorder="1"/>
    <xf numFmtId="9" fontId="0" fillId="12" borderId="0" xfId="2" applyFont="1" applyFill="1"/>
    <xf numFmtId="171" fontId="0" fillId="12" borderId="0" xfId="0" applyNumberFormat="1" applyFill="1"/>
    <xf numFmtId="2" fontId="0" fillId="12" borderId="0" xfId="0" applyNumberFormat="1" applyFill="1"/>
    <xf numFmtId="43" fontId="0" fillId="12" borderId="0" xfId="1" applyFont="1" applyFill="1"/>
    <xf numFmtId="10" fontId="0" fillId="0" borderId="0" xfId="0" applyNumberFormat="1"/>
    <xf numFmtId="164" fontId="10" fillId="13" borderId="1" xfId="5" applyNumberFormat="1" applyFont="1" applyFill="1" applyBorder="1" applyAlignment="1">
      <alignment horizontal="right" wrapText="1"/>
    </xf>
    <xf numFmtId="0" fontId="0" fillId="13" borderId="0" xfId="0" applyFill="1"/>
    <xf numFmtId="0" fontId="23" fillId="0" borderId="0" xfId="0" applyFont="1"/>
    <xf numFmtId="43" fontId="0" fillId="0" borderId="0" xfId="1" applyFont="1" applyAlignment="1">
      <alignment horizontal="right"/>
    </xf>
    <xf numFmtId="43" fontId="0" fillId="0" borderId="0" xfId="1" applyFont="1"/>
    <xf numFmtId="43" fontId="0" fillId="0" borderId="0" xfId="0" applyNumberFormat="1"/>
    <xf numFmtId="43" fontId="0" fillId="13" borderId="0" xfId="0" applyNumberFormat="1" applyFill="1"/>
    <xf numFmtId="169" fontId="0" fillId="13" borderId="0" xfId="0" applyNumberFormat="1" applyFill="1"/>
    <xf numFmtId="9" fontId="0" fillId="13" borderId="0" xfId="0" applyNumberFormat="1" applyFill="1"/>
    <xf numFmtId="43" fontId="0" fillId="13" borderId="0" xfId="1" applyFont="1" applyFill="1"/>
    <xf numFmtId="167" fontId="10" fillId="3" borderId="2" xfId="1" applyNumberFormat="1" applyFont="1" applyFill="1" applyBorder="1"/>
    <xf numFmtId="167" fontId="13" fillId="3" borderId="5" xfId="4" applyNumberFormat="1" applyFont="1" applyFill="1" applyBorder="1"/>
    <xf numFmtId="0" fontId="24" fillId="15" borderId="0" xfId="3" applyFont="1" applyFill="1" applyAlignment="1">
      <alignment horizontal="center"/>
    </xf>
    <xf numFmtId="0" fontId="24" fillId="15" borderId="0" xfId="3" applyFont="1" applyFill="1"/>
    <xf numFmtId="0" fontId="26" fillId="0" borderId="12" xfId="5" applyFont="1" applyBorder="1" applyAlignment="1">
      <alignment horizontal="centerContinuous"/>
    </xf>
    <xf numFmtId="0" fontId="26" fillId="0" borderId="13" xfId="5" applyFont="1" applyBorder="1" applyAlignment="1">
      <alignment horizontal="centerContinuous"/>
    </xf>
    <xf numFmtId="0" fontId="27" fillId="0" borderId="12" xfId="5" applyFont="1" applyBorder="1" applyAlignment="1">
      <alignment horizontal="left" indent="1"/>
    </xf>
    <xf numFmtId="166" fontId="27" fillId="0" borderId="13" xfId="9" applyNumberFormat="1" applyFont="1" applyBorder="1" applyAlignment="1">
      <alignment horizontal="right" indent="1"/>
    </xf>
    <xf numFmtId="166" fontId="27" fillId="0" borderId="13" xfId="5" applyNumberFormat="1" applyFont="1" applyBorder="1" applyAlignment="1">
      <alignment horizontal="right" indent="1"/>
    </xf>
    <xf numFmtId="0" fontId="27" fillId="0" borderId="12" xfId="5" applyFont="1" applyBorder="1"/>
    <xf numFmtId="0" fontId="27" fillId="0" borderId="13" xfId="5" applyFont="1" applyBorder="1"/>
    <xf numFmtId="2" fontId="27" fillId="0" borderId="13" xfId="9" applyNumberFormat="1" applyFont="1" applyBorder="1" applyAlignment="1">
      <alignment horizontal="right" indent="1"/>
    </xf>
    <xf numFmtId="0" fontId="26" fillId="0" borderId="14" xfId="5" applyFont="1" applyBorder="1" applyAlignment="1">
      <alignment horizontal="left" indent="1"/>
    </xf>
    <xf numFmtId="166" fontId="26" fillId="0" borderId="15" xfId="5" applyNumberFormat="1" applyFont="1" applyBorder="1" applyAlignment="1">
      <alignment horizontal="right" indent="1"/>
    </xf>
    <xf numFmtId="0" fontId="27" fillId="0" borderId="13" xfId="5" applyFont="1" applyBorder="1" applyAlignment="1">
      <alignment horizontal="right" indent="1"/>
    </xf>
    <xf numFmtId="0" fontId="26" fillId="0" borderId="12" xfId="5" applyFont="1" applyBorder="1" applyAlignment="1">
      <alignment horizontal="left" indent="1"/>
    </xf>
    <xf numFmtId="0" fontId="26" fillId="0" borderId="16" xfId="5" applyFont="1" applyBorder="1" applyAlignment="1">
      <alignment horizontal="left" indent="1"/>
    </xf>
    <xf numFmtId="166" fontId="26" fillId="0" borderId="17" xfId="5" applyNumberFormat="1" applyFont="1" applyBorder="1" applyAlignment="1">
      <alignment horizontal="right" indent="1"/>
    </xf>
    <xf numFmtId="0" fontId="24" fillId="0" borderId="18" xfId="5" applyFont="1" applyBorder="1" applyAlignment="1">
      <alignment horizontal="left" indent="1"/>
    </xf>
    <xf numFmtId="0" fontId="24" fillId="0" borderId="19" xfId="5" applyFont="1" applyBorder="1" applyAlignment="1">
      <alignment horizontal="right" indent="1"/>
    </xf>
    <xf numFmtId="0" fontId="24" fillId="0" borderId="13" xfId="5" applyFont="1" applyBorder="1" applyAlignment="1">
      <alignment horizontal="right" indent="1"/>
    </xf>
    <xf numFmtId="0" fontId="27" fillId="0" borderId="20" xfId="5" applyFont="1" applyBorder="1" applyAlignment="1">
      <alignment horizontal="left" indent="1"/>
    </xf>
    <xf numFmtId="166" fontId="27" fillId="0" borderId="21" xfId="9" applyNumberFormat="1" applyFont="1" applyBorder="1" applyAlignment="1">
      <alignment horizontal="right" indent="1"/>
    </xf>
    <xf numFmtId="0" fontId="27" fillId="0" borderId="22" xfId="5" applyFont="1" applyBorder="1" applyAlignment="1">
      <alignment horizontal="left" indent="1"/>
    </xf>
    <xf numFmtId="166" fontId="27" fillId="0" borderId="23" xfId="5" applyNumberFormat="1" applyFont="1" applyBorder="1" applyAlignment="1">
      <alignment horizontal="right" indent="1"/>
    </xf>
    <xf numFmtId="0" fontId="27" fillId="0" borderId="22" xfId="5" applyFont="1" applyBorder="1"/>
    <xf numFmtId="0" fontId="27" fillId="0" borderId="23" xfId="5" applyFont="1" applyBorder="1"/>
    <xf numFmtId="0" fontId="26" fillId="0" borderId="24" xfId="5" applyFont="1" applyBorder="1" applyAlignment="1">
      <alignment horizontal="left" indent="1"/>
    </xf>
    <xf numFmtId="0" fontId="27" fillId="0" borderId="25" xfId="5" applyFont="1" applyBorder="1" applyAlignment="1">
      <alignment horizontal="right" indent="1"/>
    </xf>
    <xf numFmtId="0" fontId="3" fillId="15" borderId="0" xfId="3" applyFill="1"/>
    <xf numFmtId="0" fontId="3" fillId="0" borderId="0" xfId="3"/>
    <xf numFmtId="0" fontId="24" fillId="0" borderId="0" xfId="3" applyFont="1"/>
    <xf numFmtId="0" fontId="3" fillId="0" borderId="0" xfId="3"/>
    <xf numFmtId="43" fontId="24" fillId="0" borderId="0" xfId="4" applyFont="1"/>
    <xf numFmtId="9" fontId="24" fillId="0" borderId="0" xfId="8" applyFont="1"/>
    <xf numFmtId="0" fontId="3" fillId="0" borderId="0" xfId="3"/>
    <xf numFmtId="14" fontId="24" fillId="0" borderId="0" xfId="3" applyNumberFormat="1" applyFont="1" applyAlignment="1">
      <alignment horizontal="left"/>
    </xf>
    <xf numFmtId="0" fontId="24" fillId="0" borderId="0" xfId="3" applyFont="1" applyAlignment="1">
      <alignment horizontal="center" wrapText="1"/>
    </xf>
    <xf numFmtId="0" fontId="3" fillId="0" borderId="0" xfId="3"/>
    <xf numFmtId="169" fontId="3" fillId="0" borderId="0" xfId="4" applyNumberFormat="1" applyFont="1"/>
    <xf numFmtId="0" fontId="6" fillId="0" borderId="0" xfId="3" applyFont="1"/>
    <xf numFmtId="169" fontId="6" fillId="0" borderId="0" xfId="4" applyNumberFormat="1" applyFont="1"/>
    <xf numFmtId="164" fontId="10" fillId="3" borderId="1" xfId="5" applyNumberFormat="1" applyFont="1" applyFill="1" applyBorder="1" applyAlignment="1">
      <alignment horizontal="right" wrapText="1"/>
    </xf>
    <xf numFmtId="167" fontId="11" fillId="3" borderId="0" xfId="4" applyNumberFormat="1" applyFont="1" applyFill="1"/>
    <xf numFmtId="9" fontId="24" fillId="0" borderId="0" xfId="8" applyFont="1"/>
    <xf numFmtId="165" fontId="13" fillId="3" borderId="5" xfId="5" applyNumberFormat="1" applyFont="1" applyFill="1" applyBorder="1"/>
    <xf numFmtId="0" fontId="24" fillId="15" borderId="0" xfId="3" applyFont="1" applyFill="1" applyAlignment="1">
      <alignment horizontal="center" wrapText="1"/>
    </xf>
    <xf numFmtId="4" fontId="6" fillId="0" borderId="0" xfId="0" applyNumberFormat="1" applyFont="1"/>
    <xf numFmtId="43" fontId="6" fillId="0" borderId="0" xfId="4" applyFont="1"/>
    <xf numFmtId="0" fontId="6" fillId="0" borderId="0" xfId="0" applyFont="1"/>
    <xf numFmtId="43" fontId="6" fillId="0" borderId="0" xfId="1" applyFont="1"/>
    <xf numFmtId="166" fontId="26" fillId="0" borderId="15" xfId="2" applyNumberFormat="1" applyFont="1" applyBorder="1" applyAlignment="1">
      <alignment horizontal="right" indent="1"/>
    </xf>
    <xf numFmtId="1" fontId="0" fillId="0" borderId="0" xfId="0" applyNumberFormat="1"/>
    <xf numFmtId="10" fontId="26" fillId="0" borderId="13" xfId="5" applyNumberFormat="1" applyFont="1" applyBorder="1" applyAlignment="1">
      <alignment horizontal="right" indent="1"/>
    </xf>
    <xf numFmtId="43" fontId="11" fillId="3" borderId="0" xfId="1" applyNumberFormat="1" applyFont="1" applyFill="1"/>
    <xf numFmtId="165" fontId="0" fillId="0" borderId="0" xfId="0" applyNumberFormat="1"/>
    <xf numFmtId="167" fontId="0" fillId="0" borderId="0" xfId="0" applyNumberFormat="1"/>
    <xf numFmtId="0" fontId="6" fillId="0" borderId="26" xfId="0" applyFont="1" applyBorder="1"/>
    <xf numFmtId="165" fontId="6" fillId="0" borderId="27" xfId="0" applyNumberFormat="1" applyFont="1" applyBorder="1"/>
    <xf numFmtId="0" fontId="0" fillId="0" borderId="0" xfId="0" applyBorder="1"/>
    <xf numFmtId="9" fontId="0" fillId="0" borderId="0" xfId="0" applyNumberFormat="1"/>
    <xf numFmtId="166" fontId="0" fillId="0" borderId="0" xfId="0" applyNumberFormat="1"/>
    <xf numFmtId="0" fontId="11" fillId="0" borderId="0" xfId="3" applyFont="1"/>
    <xf numFmtId="0" fontId="13" fillId="0" borderId="8" xfId="3" applyFont="1" applyBorder="1"/>
    <xf numFmtId="0" fontId="13" fillId="0" borderId="8" xfId="3" applyFont="1" applyBorder="1" applyAlignment="1">
      <alignment horizontal="center" wrapText="1"/>
    </xf>
    <xf numFmtId="169" fontId="11" fillId="0" borderId="0" xfId="4" applyNumberFormat="1" applyFont="1" applyAlignment="1">
      <alignment horizontal="center"/>
    </xf>
    <xf numFmtId="169" fontId="11" fillId="0" borderId="0" xfId="4" applyNumberFormat="1" applyFont="1"/>
    <xf numFmtId="15" fontId="11" fillId="0" borderId="0" xfId="3" applyNumberFormat="1" applyFont="1" applyAlignment="1">
      <alignment horizontal="left"/>
    </xf>
    <xf numFmtId="172" fontId="11" fillId="0" borderId="0" xfId="3" applyNumberFormat="1" applyFont="1"/>
    <xf numFmtId="169" fontId="11" fillId="0" borderId="0" xfId="3" applyNumberFormat="1" applyFont="1"/>
    <xf numFmtId="0" fontId="28" fillId="0" borderId="0" xfId="3" applyFont="1"/>
    <xf numFmtId="0" fontId="4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12" borderId="0" xfId="0" applyFill="1" applyAlignment="1">
      <alignment horizontal="center"/>
    </xf>
    <xf numFmtId="0" fontId="25" fillId="14" borderId="10" xfId="5" applyFont="1" applyFill="1" applyBorder="1" applyAlignment="1">
      <alignment horizontal="center"/>
    </xf>
    <xf numFmtId="0" fontId="25" fillId="14" borderId="11" xfId="5" applyFont="1" applyFill="1" applyBorder="1" applyAlignment="1">
      <alignment horizontal="center"/>
    </xf>
    <xf numFmtId="0" fontId="4" fillId="16" borderId="0" xfId="0" applyFont="1" applyFill="1" applyAlignment="1">
      <alignment horizontal="left"/>
    </xf>
    <xf numFmtId="0" fontId="0" fillId="16" borderId="0" xfId="0" applyFill="1" applyAlignment="1">
      <alignment horizontal="left"/>
    </xf>
    <xf numFmtId="0" fontId="22" fillId="0" borderId="0" xfId="0" applyFont="1" applyAlignment="1">
      <alignment horizontal="center"/>
    </xf>
    <xf numFmtId="0" fontId="18" fillId="8" borderId="28" xfId="0" applyFont="1" applyFill="1" applyBorder="1"/>
    <xf numFmtId="0" fontId="19" fillId="7" borderId="28" xfId="0" applyFont="1" applyFill="1" applyBorder="1"/>
    <xf numFmtId="0" fontId="17" fillId="7" borderId="28" xfId="0" applyFont="1" applyFill="1" applyBorder="1"/>
  </cellXfs>
  <cellStyles count="10">
    <cellStyle name="Comma" xfId="1" builtinId="3"/>
    <cellStyle name="Comma 2" xfId="7" xr:uid="{2FC5091E-E0C2-4B86-A760-AC5DF02697E6}"/>
    <cellStyle name="Comma 3" xfId="4" xr:uid="{106E1298-D21D-4025-A790-93612D7B0EA4}"/>
    <cellStyle name="Normal" xfId="0" builtinId="0"/>
    <cellStyle name="Normal 2" xfId="5" xr:uid="{E41D1704-5DC5-4179-B742-E9667AF052B1}"/>
    <cellStyle name="Normal 3" xfId="3" xr:uid="{7E9257E9-2A30-441F-9C3E-FD24C5F2C292}"/>
    <cellStyle name="Per cent 2" xfId="6" xr:uid="{D618660C-B4BD-4A68-95A1-91E5B65B6EE6}"/>
    <cellStyle name="Percent" xfId="2" builtinId="5"/>
    <cellStyle name="Percent 2" xfId="9" xr:uid="{BC247834-2256-4912-A5DF-DABE50B7A736}"/>
    <cellStyle name="Percent 3" xfId="8" xr:uid="{339012D1-D33F-4670-BE59-B0B3D7B7D6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381001</xdr:colOff>
      <xdr:row>11</xdr:row>
      <xdr:rowOff>180975</xdr:rowOff>
    </xdr:from>
    <xdr:to>
      <xdr:col>13</xdr:col>
      <xdr:colOff>333376</xdr:colOff>
      <xdr:row>13</xdr:row>
      <xdr:rowOff>19050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F4D8FD1-DC87-40C3-8E80-90E3A48EF32D}"/>
            </a:ext>
          </a:extLst>
        </xdr:cNvPr>
        <xdr:cNvSpPr/>
      </xdr:nvSpPr>
      <xdr:spPr>
        <a:xfrm>
          <a:off x="10620376" y="3057525"/>
          <a:ext cx="5448300" cy="2190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GROWTH</a:t>
          </a:r>
        </a:p>
      </xdr:txBody>
    </xdr:sp>
    <xdr:clientData/>
  </xdr:twoCellAnchor>
  <xdr:twoCellAnchor>
    <xdr:from>
      <xdr:col>7</xdr:col>
      <xdr:colOff>485775</xdr:colOff>
      <xdr:row>13</xdr:row>
      <xdr:rowOff>28575</xdr:rowOff>
    </xdr:from>
    <xdr:to>
      <xdr:col>7</xdr:col>
      <xdr:colOff>781050</xdr:colOff>
      <xdr:row>18</xdr:row>
      <xdr:rowOff>180975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D228C08-F6C6-4364-88CD-6ECCB799D6DA}"/>
            </a:ext>
          </a:extLst>
        </xdr:cNvPr>
        <xdr:cNvSpPr/>
      </xdr:nvSpPr>
      <xdr:spPr>
        <a:xfrm>
          <a:off x="9467850" y="3286125"/>
          <a:ext cx="295275" cy="11334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GROWTH</a:t>
          </a:r>
        </a:p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22D68-F41F-4732-91BA-5077B761A8B3}">
  <dimension ref="A8:G11"/>
  <sheetViews>
    <sheetView showGridLines="0" workbookViewId="0">
      <selection activeCell="A8" sqref="A8:G11"/>
    </sheetView>
  </sheetViews>
  <sheetFormatPr defaultRowHeight="15" x14ac:dyDescent="0.25"/>
  <sheetData>
    <row r="8" spans="1:7" x14ac:dyDescent="0.25">
      <c r="A8" s="195" t="s">
        <v>0</v>
      </c>
      <c r="B8" s="196"/>
      <c r="C8" s="196"/>
      <c r="D8" s="196"/>
      <c r="E8" s="196"/>
      <c r="F8" s="196"/>
      <c r="G8" s="196"/>
    </row>
    <row r="9" spans="1:7" x14ac:dyDescent="0.25">
      <c r="A9" s="196"/>
      <c r="B9" s="196"/>
      <c r="C9" s="196"/>
      <c r="D9" s="196"/>
      <c r="E9" s="196"/>
      <c r="F9" s="196"/>
      <c r="G9" s="196"/>
    </row>
    <row r="10" spans="1:7" x14ac:dyDescent="0.25">
      <c r="A10" s="196"/>
      <c r="B10" s="196"/>
      <c r="C10" s="196"/>
      <c r="D10" s="196"/>
      <c r="E10" s="196"/>
      <c r="F10" s="196"/>
      <c r="G10" s="196"/>
    </row>
    <row r="11" spans="1:7" x14ac:dyDescent="0.25">
      <c r="A11" s="196"/>
      <c r="B11" s="196"/>
      <c r="C11" s="196"/>
      <c r="D11" s="196"/>
      <c r="E11" s="196"/>
      <c r="F11" s="196"/>
      <c r="G11" s="196"/>
    </row>
  </sheetData>
  <mergeCells count="1">
    <mergeCell ref="A8:G1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D7191-589F-471D-B9BB-73683FAD569E}">
  <dimension ref="B1:Q65"/>
  <sheetViews>
    <sheetView showGridLines="0" topLeftCell="A31" zoomScale="82" zoomScaleNormal="82" workbookViewId="0">
      <selection activeCell="P22" sqref="P22"/>
    </sheetView>
  </sheetViews>
  <sheetFormatPr defaultRowHeight="15" x14ac:dyDescent="0.25"/>
  <cols>
    <col min="2" max="2" width="37.7109375" bestFit="1" customWidth="1"/>
    <col min="3" max="3" width="19.140625" customWidth="1"/>
    <col min="4" max="4" width="19.42578125" customWidth="1"/>
    <col min="5" max="5" width="18.5703125" customWidth="1"/>
    <col min="6" max="6" width="15.42578125" customWidth="1"/>
    <col min="7" max="7" width="19.42578125" customWidth="1"/>
    <col min="8" max="8" width="19.5703125" customWidth="1"/>
    <col min="9" max="9" width="12.42578125" bestFit="1" customWidth="1"/>
    <col min="10" max="10" width="16.140625" customWidth="1"/>
    <col min="11" max="11" width="15.140625" customWidth="1"/>
    <col min="12" max="12" width="15.28515625" customWidth="1"/>
    <col min="13" max="13" width="17" customWidth="1"/>
  </cols>
  <sheetData>
    <row r="1" spans="2:17" ht="18.75" x14ac:dyDescent="0.3">
      <c r="B1" s="1" t="s">
        <v>3</v>
      </c>
      <c r="C1" s="1"/>
      <c r="D1" s="2"/>
      <c r="E1" s="2"/>
      <c r="F1" s="2"/>
      <c r="G1" s="2"/>
      <c r="H1" s="3" t="s">
        <v>4</v>
      </c>
      <c r="I1" s="3"/>
      <c r="J1" s="2"/>
      <c r="K1" s="2"/>
      <c r="L1" s="2"/>
      <c r="M1" s="2"/>
    </row>
    <row r="2" spans="2:17" ht="18.75" x14ac:dyDescent="0.3">
      <c r="B2" s="1"/>
      <c r="C2" s="1"/>
      <c r="D2" s="2"/>
      <c r="E2" s="2"/>
      <c r="F2" s="2"/>
      <c r="G2" s="2"/>
      <c r="H2" s="3" t="s">
        <v>5</v>
      </c>
      <c r="I2" s="205" t="s">
        <v>6</v>
      </c>
      <c r="J2" s="206" t="s">
        <v>7</v>
      </c>
      <c r="K2" s="207"/>
      <c r="L2" s="207"/>
      <c r="M2" s="2"/>
    </row>
    <row r="3" spans="2:17" ht="19.5" thickBot="1" x14ac:dyDescent="0.35">
      <c r="B3" s="1"/>
      <c r="C3" s="1"/>
      <c r="D3" s="2"/>
      <c r="E3" s="2"/>
      <c r="F3" s="2"/>
      <c r="G3" s="2"/>
      <c r="H3" s="3" t="s">
        <v>8</v>
      </c>
      <c r="I3" s="205" t="s">
        <v>9</v>
      </c>
      <c r="J3" s="206" t="s">
        <v>10</v>
      </c>
      <c r="K3" s="207"/>
      <c r="L3" s="207"/>
      <c r="M3" s="2"/>
    </row>
    <row r="4" spans="2:17" ht="19.5" thickBot="1" x14ac:dyDescent="0.35">
      <c r="B4" s="26" t="s">
        <v>136</v>
      </c>
      <c r="C4" s="27">
        <v>1</v>
      </c>
      <c r="D4" s="2"/>
      <c r="E4" s="2"/>
      <c r="F4" s="2"/>
      <c r="G4" s="2"/>
      <c r="H4" s="3" t="s">
        <v>11</v>
      </c>
      <c r="I4" s="205" t="s">
        <v>12</v>
      </c>
      <c r="J4" s="206" t="s">
        <v>13</v>
      </c>
      <c r="K4" s="207"/>
      <c r="L4" s="207"/>
      <c r="M4" s="2"/>
    </row>
    <row r="5" spans="2:17" ht="18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2:17" ht="18.75" thickBot="1" x14ac:dyDescent="0.3">
      <c r="B6" s="4" t="s">
        <v>14</v>
      </c>
      <c r="C6" s="8" t="s">
        <v>26</v>
      </c>
      <c r="D6" s="8" t="s">
        <v>27</v>
      </c>
      <c r="E6" s="8" t="s">
        <v>28</v>
      </c>
      <c r="F6" s="8" t="s">
        <v>29</v>
      </c>
      <c r="G6" s="8" t="s">
        <v>30</v>
      </c>
      <c r="H6" s="8" t="s">
        <v>31</v>
      </c>
      <c r="I6" s="105" t="s">
        <v>32</v>
      </c>
      <c r="J6" s="105" t="s">
        <v>33</v>
      </c>
      <c r="K6" s="105" t="s">
        <v>34</v>
      </c>
      <c r="L6" s="105" t="s">
        <v>35</v>
      </c>
      <c r="M6" s="105" t="s">
        <v>36</v>
      </c>
    </row>
    <row r="7" spans="2:17" x14ac:dyDescent="0.25">
      <c r="B7" s="5" t="s">
        <v>137</v>
      </c>
      <c r="C7">
        <f>'INCOME STATEMENT'!C6</f>
        <v>27005.26</v>
      </c>
      <c r="D7">
        <f>'INCOME STATEMENT'!D6</f>
        <v>29020.98</v>
      </c>
      <c r="E7">
        <f>'INCOME STATEMENT'!E6</f>
        <v>30715.33</v>
      </c>
      <c r="F7">
        <f>'INCOME STATEMENT'!F6</f>
        <v>30983.66</v>
      </c>
      <c r="G7">
        <f>'INCOME STATEMENT'!G6</f>
        <v>33100.94</v>
      </c>
      <c r="H7">
        <f>'INCOME STATEMENT'!H6</f>
        <v>33972.230000000003</v>
      </c>
      <c r="I7" s="111">
        <f>H7*(I8+1)</f>
        <v>36350.286100000005</v>
      </c>
      <c r="J7" s="111">
        <f t="shared" ref="J7:M7" si="0">I7*(J8+1)</f>
        <v>38894.806127000011</v>
      </c>
      <c r="K7" s="111">
        <f t="shared" si="0"/>
        <v>41617.442555890011</v>
      </c>
      <c r="L7" s="111">
        <f t="shared" si="0"/>
        <v>44530.663534802312</v>
      </c>
      <c r="M7" s="111">
        <f t="shared" si="0"/>
        <v>47647.809982238476</v>
      </c>
    </row>
    <row r="8" spans="2:17" x14ac:dyDescent="0.25">
      <c r="B8" t="s">
        <v>138</v>
      </c>
      <c r="D8" s="104">
        <f>D7/C7-1</f>
        <v>7.4641754976623176E-2</v>
      </c>
      <c r="E8" s="104">
        <f>E7/D7-1</f>
        <v>5.838362453645618E-2</v>
      </c>
      <c r="F8" s="104">
        <f t="shared" ref="F8:H8" si="1">F7/E7-1</f>
        <v>8.7360285564244133E-3</v>
      </c>
      <c r="G8" s="104">
        <f t="shared" si="1"/>
        <v>6.8335374194010701E-2</v>
      </c>
      <c r="H8" s="104">
        <f t="shared" si="1"/>
        <v>2.6322213206029899E-2</v>
      </c>
      <c r="I8" s="109">
        <f>CHOOSE($C$4,I11,I12,I13)</f>
        <v>7.0000000000000007E-2</v>
      </c>
      <c r="J8" s="109">
        <f t="shared" ref="J8:M8" si="2">CHOOSE($C$4,J11,J12,J13)</f>
        <v>7.0000000000000007E-2</v>
      </c>
      <c r="K8" s="109">
        <f t="shared" si="2"/>
        <v>7.0000000000000007E-2</v>
      </c>
      <c r="L8" s="109">
        <f t="shared" si="2"/>
        <v>7.0000000000000007E-2</v>
      </c>
      <c r="M8" s="109">
        <f t="shared" si="2"/>
        <v>7.0000000000000007E-2</v>
      </c>
      <c r="N8" s="109"/>
      <c r="O8" s="109"/>
      <c r="P8" s="109"/>
      <c r="Q8" s="109"/>
    </row>
    <row r="9" spans="2:17" x14ac:dyDescent="0.25">
      <c r="I9" s="106"/>
      <c r="J9" s="106"/>
      <c r="K9" s="106"/>
      <c r="L9" s="106"/>
      <c r="M9" s="106"/>
    </row>
    <row r="10" spans="2:17" x14ac:dyDescent="0.25">
      <c r="I10" s="106"/>
      <c r="J10" s="106"/>
      <c r="K10" s="106"/>
      <c r="L10" s="106"/>
      <c r="M10" s="106"/>
    </row>
    <row r="11" spans="2:17" ht="18.75" x14ac:dyDescent="0.3">
      <c r="B11" s="3" t="s">
        <v>5</v>
      </c>
      <c r="C11" s="108"/>
      <c r="D11" s="108"/>
      <c r="E11" s="108"/>
      <c r="F11" s="108"/>
      <c r="G11" s="108"/>
      <c r="H11" s="108"/>
      <c r="I11" s="107">
        <v>7.0000000000000007E-2</v>
      </c>
      <c r="J11" s="107">
        <v>7.0000000000000007E-2</v>
      </c>
      <c r="K11" s="107">
        <v>7.0000000000000007E-2</v>
      </c>
      <c r="L11" s="107">
        <v>7.0000000000000007E-2</v>
      </c>
      <c r="M11" s="107">
        <v>7.0000000000000007E-2</v>
      </c>
    </row>
    <row r="12" spans="2:17" ht="18.75" x14ac:dyDescent="0.3">
      <c r="B12" s="3" t="s">
        <v>8</v>
      </c>
      <c r="C12" s="108"/>
      <c r="D12" s="108"/>
      <c r="E12" s="108"/>
      <c r="F12" s="108"/>
      <c r="G12" s="108"/>
      <c r="H12" s="108"/>
      <c r="I12" s="107">
        <v>0.05</v>
      </c>
      <c r="J12" s="107">
        <v>0.05</v>
      </c>
      <c r="K12" s="107">
        <v>0.05</v>
      </c>
      <c r="L12" s="107">
        <v>0.05</v>
      </c>
      <c r="M12" s="107">
        <v>0.05</v>
      </c>
    </row>
    <row r="13" spans="2:17" ht="18.75" x14ac:dyDescent="0.3">
      <c r="B13" s="3" t="s">
        <v>11</v>
      </c>
      <c r="C13" s="108"/>
      <c r="D13" s="108"/>
      <c r="E13" s="108"/>
      <c r="F13" s="108"/>
      <c r="G13" s="108"/>
      <c r="H13" s="108"/>
      <c r="I13" s="107">
        <v>0.03</v>
      </c>
      <c r="J13" s="107">
        <v>0.03</v>
      </c>
      <c r="K13" s="107">
        <v>0.03</v>
      </c>
      <c r="L13" s="107">
        <v>0.03</v>
      </c>
      <c r="M13" s="107">
        <v>0.03</v>
      </c>
    </row>
    <row r="14" spans="2:17" x14ac:dyDescent="0.25">
      <c r="I14" s="106"/>
      <c r="J14" s="106"/>
      <c r="K14" s="106"/>
      <c r="L14" s="106"/>
      <c r="M14" s="106"/>
    </row>
    <row r="15" spans="2:17" ht="15.75" x14ac:dyDescent="0.25">
      <c r="B15" s="84" t="s">
        <v>80</v>
      </c>
      <c r="C15">
        <f>'INCOME STATEMENT'!C8</f>
        <v>-18229.89</v>
      </c>
      <c r="D15">
        <f>'INCOME STATEMENT'!D8</f>
        <v>-19715.300000000003</v>
      </c>
      <c r="E15">
        <f>'INCOME STATEMENT'!E8</f>
        <v>-19308.099999999999</v>
      </c>
      <c r="F15">
        <f>'INCOME STATEMENT'!F8</f>
        <v>-19116.080000000002</v>
      </c>
      <c r="G15">
        <f>'INCOME STATEMENT'!G8</f>
        <v>-21885.82</v>
      </c>
      <c r="H15">
        <f>'INCOME STATEMENT'!H8</f>
        <v>-23444.42</v>
      </c>
      <c r="I15" s="111">
        <f>-I16*I7</f>
        <v>-22537.177382000002</v>
      </c>
      <c r="J15" s="111">
        <f t="shared" ref="J15:M15" si="3">-J16*J7</f>
        <v>-24114.779798740008</v>
      </c>
      <c r="K15" s="111">
        <f t="shared" si="3"/>
        <v>-25802.814384651807</v>
      </c>
      <c r="L15" s="111">
        <f t="shared" si="3"/>
        <v>-27609.011391577435</v>
      </c>
      <c r="M15" s="111">
        <f t="shared" si="3"/>
        <v>-29541.642188987855</v>
      </c>
    </row>
    <row r="16" spans="2:17" ht="18.75" x14ac:dyDescent="0.3">
      <c r="B16" s="3" t="s">
        <v>139</v>
      </c>
      <c r="C16" s="103">
        <f>-C15/C7</f>
        <v>0.67504960144801418</v>
      </c>
      <c r="D16" s="103">
        <f t="shared" ref="D16:H16" si="4">-D15/D7</f>
        <v>0.67934645900999913</v>
      </c>
      <c r="E16" s="103">
        <f t="shared" si="4"/>
        <v>0.6286144410624922</v>
      </c>
      <c r="F16" s="103">
        <f t="shared" si="4"/>
        <v>0.61697294638528832</v>
      </c>
      <c r="G16" s="103">
        <f t="shared" si="4"/>
        <v>0.66118424431451184</v>
      </c>
      <c r="H16" s="103">
        <f t="shared" si="4"/>
        <v>0.6901054184550145</v>
      </c>
      <c r="I16" s="109">
        <f>CHOOSE($C$4,I18,I19,I20)</f>
        <v>0.62</v>
      </c>
      <c r="J16" s="109">
        <f t="shared" ref="J16:M16" si="5">CHOOSE($C$4,J18,J19,J20)</f>
        <v>0.62</v>
      </c>
      <c r="K16" s="109">
        <f t="shared" si="5"/>
        <v>0.62</v>
      </c>
      <c r="L16" s="109">
        <f t="shared" si="5"/>
        <v>0.62</v>
      </c>
      <c r="M16" s="109">
        <f t="shared" si="5"/>
        <v>0.62</v>
      </c>
    </row>
    <row r="17" spans="2:13" ht="18.75" x14ac:dyDescent="0.3">
      <c r="B17" s="3"/>
      <c r="I17" s="106"/>
      <c r="J17" s="106"/>
      <c r="K17" s="106"/>
      <c r="L17" s="106"/>
      <c r="M17" s="106"/>
    </row>
    <row r="18" spans="2:13" ht="18.75" x14ac:dyDescent="0.3">
      <c r="B18" s="3" t="s">
        <v>5</v>
      </c>
      <c r="C18" s="108"/>
      <c r="D18" s="108"/>
      <c r="E18" s="108"/>
      <c r="F18" s="108"/>
      <c r="G18" s="108"/>
      <c r="H18" s="108"/>
      <c r="I18" s="107">
        <v>0.62</v>
      </c>
      <c r="J18" s="107">
        <v>0.62</v>
      </c>
      <c r="K18" s="107">
        <v>0.62</v>
      </c>
      <c r="L18" s="107">
        <v>0.62</v>
      </c>
      <c r="M18" s="107">
        <v>0.62</v>
      </c>
    </row>
    <row r="19" spans="2:13" ht="18.75" x14ac:dyDescent="0.3">
      <c r="B19" s="3" t="s">
        <v>8</v>
      </c>
      <c r="C19" s="108"/>
      <c r="D19" s="108"/>
      <c r="E19" s="108"/>
      <c r="F19" s="108"/>
      <c r="G19" s="108"/>
      <c r="H19" s="108"/>
      <c r="I19" s="107">
        <v>0.66</v>
      </c>
      <c r="J19" s="107">
        <v>0.66</v>
      </c>
      <c r="K19" s="107">
        <v>0.66</v>
      </c>
      <c r="L19" s="107">
        <v>0.66</v>
      </c>
      <c r="M19" s="107">
        <v>0.66</v>
      </c>
    </row>
    <row r="20" spans="2:13" ht="18.75" x14ac:dyDescent="0.3">
      <c r="B20" s="3" t="s">
        <v>11</v>
      </c>
      <c r="C20" s="108"/>
      <c r="D20" s="108"/>
      <c r="E20" s="108"/>
      <c r="F20" s="108"/>
      <c r="G20" s="108"/>
      <c r="H20" s="108"/>
      <c r="I20" s="107">
        <v>0.69</v>
      </c>
      <c r="J20" s="107">
        <v>0.69</v>
      </c>
      <c r="K20" s="107">
        <v>0.69</v>
      </c>
      <c r="L20" s="107">
        <v>0.69</v>
      </c>
      <c r="M20" s="107">
        <v>0.69</v>
      </c>
    </row>
    <row r="21" spans="2:13" x14ac:dyDescent="0.25">
      <c r="I21" s="106"/>
      <c r="J21" s="106"/>
      <c r="K21" s="106"/>
      <c r="L21" s="106"/>
      <c r="M21" s="106"/>
    </row>
    <row r="22" spans="2:13" x14ac:dyDescent="0.25">
      <c r="I22" s="106"/>
      <c r="J22" s="106"/>
      <c r="K22" s="106"/>
      <c r="L22" s="106"/>
      <c r="M22" s="106"/>
    </row>
    <row r="23" spans="2:13" x14ac:dyDescent="0.25">
      <c r="B23" t="str">
        <f>'INCOME STATEMENT'!B9</f>
        <v>Excise duty on sale of goods</v>
      </c>
      <c r="C23">
        <f>'INCOME STATEMENT'!C9</f>
        <v>-1880.35</v>
      </c>
      <c r="D23">
        <f>'INCOME STATEMENT'!D9</f>
        <v>-1717.65</v>
      </c>
      <c r="E23">
        <f>'INCOME STATEMENT'!E9</f>
        <v>-2258.21</v>
      </c>
      <c r="F23">
        <f>'INCOME STATEMENT'!F9</f>
        <v>-2373.23</v>
      </c>
      <c r="G23">
        <f>'INCOME STATEMENT'!G9</f>
        <v>-642.57000000000005</v>
      </c>
      <c r="H23">
        <f>'INCOME STATEMENT'!H9</f>
        <v>-1.41</v>
      </c>
      <c r="I23" s="112">
        <f>I24/I7</f>
        <v>1.6545191043857688E-9</v>
      </c>
      <c r="J23" s="112">
        <f t="shared" ref="J23:M23" si="6">J24/J7</f>
        <v>1.5462795368091295E-9</v>
      </c>
      <c r="K23" s="112">
        <f t="shared" si="6"/>
        <v>1.4451210624384389E-9</v>
      </c>
      <c r="L23" s="112">
        <f t="shared" si="6"/>
        <v>1.3505804321854568E-9</v>
      </c>
      <c r="M23" s="112">
        <f t="shared" si="6"/>
        <v>1.2622247029770624E-9</v>
      </c>
    </row>
    <row r="24" spans="2:13" ht="18.75" x14ac:dyDescent="0.3">
      <c r="B24" s="3" t="s">
        <v>139</v>
      </c>
      <c r="C24" s="103">
        <f>C23/C15</f>
        <v>0.10314653571689132</v>
      </c>
      <c r="D24" s="103">
        <f t="shared" ref="D24:H24" si="7">D23/D15</f>
        <v>8.7122691513697476E-2</v>
      </c>
      <c r="E24" s="103">
        <f t="shared" si="7"/>
        <v>0.11695661406352775</v>
      </c>
      <c r="F24" s="103">
        <f t="shared" si="7"/>
        <v>0.12414836096103384</v>
      </c>
      <c r="G24" s="103">
        <f t="shared" si="7"/>
        <v>2.9360106224029989E-2</v>
      </c>
      <c r="H24" s="103">
        <f t="shared" si="7"/>
        <v>6.0142242802338471E-5</v>
      </c>
      <c r="I24" s="109">
        <f>CHOOSE($C$4,I26,I27,I28)</f>
        <v>6.0142242802338471E-5</v>
      </c>
      <c r="J24" s="109">
        <f t="shared" ref="J24:M24" si="8">CHOOSE($C$4,J26,J27,J28)</f>
        <v>6.0142242802338471E-5</v>
      </c>
      <c r="K24" s="109">
        <f t="shared" si="8"/>
        <v>6.0142242802338471E-5</v>
      </c>
      <c r="L24" s="109">
        <f t="shared" si="8"/>
        <v>6.0142242802338471E-5</v>
      </c>
      <c r="M24" s="109">
        <f t="shared" si="8"/>
        <v>6.0142242802338471E-5</v>
      </c>
    </row>
    <row r="25" spans="2:13" x14ac:dyDescent="0.25">
      <c r="I25" s="106"/>
      <c r="J25" s="106"/>
      <c r="K25" s="106"/>
      <c r="L25" s="106"/>
      <c r="M25" s="106"/>
    </row>
    <row r="26" spans="2:13" ht="18.75" x14ac:dyDescent="0.3">
      <c r="B26" s="3" t="s">
        <v>5</v>
      </c>
      <c r="C26" s="108"/>
      <c r="D26" s="108"/>
      <c r="E26" s="108"/>
      <c r="F26" s="108"/>
      <c r="G26" s="108"/>
      <c r="H26" s="108"/>
      <c r="I26" s="107">
        <f>H24</f>
        <v>6.0142242802338471E-5</v>
      </c>
      <c r="J26" s="107">
        <f t="shared" ref="J26:M26" si="9">I24</f>
        <v>6.0142242802338471E-5</v>
      </c>
      <c r="K26" s="107">
        <f t="shared" si="9"/>
        <v>6.0142242802338471E-5</v>
      </c>
      <c r="L26" s="107">
        <f t="shared" si="9"/>
        <v>6.0142242802338471E-5</v>
      </c>
      <c r="M26" s="107">
        <f t="shared" si="9"/>
        <v>6.0142242802338471E-5</v>
      </c>
    </row>
    <row r="27" spans="2:13" ht="18.75" x14ac:dyDescent="0.3">
      <c r="B27" s="3" t="s">
        <v>8</v>
      </c>
      <c r="C27" s="108"/>
      <c r="D27" s="108"/>
      <c r="E27" s="108"/>
      <c r="F27" s="108"/>
      <c r="G27" s="108"/>
      <c r="H27" s="108"/>
      <c r="I27" s="107">
        <f t="shared" ref="I27:M28" si="10">H25</f>
        <v>0</v>
      </c>
      <c r="J27" s="107">
        <f t="shared" si="10"/>
        <v>0</v>
      </c>
      <c r="K27" s="107">
        <f t="shared" si="10"/>
        <v>0</v>
      </c>
      <c r="L27" s="107">
        <f t="shared" si="10"/>
        <v>0</v>
      </c>
      <c r="M27" s="107">
        <f t="shared" si="10"/>
        <v>0</v>
      </c>
    </row>
    <row r="28" spans="2:13" ht="18.75" x14ac:dyDescent="0.3">
      <c r="B28" s="3" t="s">
        <v>11</v>
      </c>
      <c r="C28" s="108"/>
      <c r="D28" s="108"/>
      <c r="E28" s="108"/>
      <c r="F28" s="108"/>
      <c r="G28" s="108"/>
      <c r="H28" s="108"/>
      <c r="I28" s="107">
        <f t="shared" si="10"/>
        <v>0</v>
      </c>
      <c r="J28" s="107">
        <f t="shared" si="10"/>
        <v>6.0142242802338471E-5</v>
      </c>
      <c r="K28" s="107">
        <f t="shared" si="10"/>
        <v>6.0142242802338471E-5</v>
      </c>
      <c r="L28" s="107">
        <f t="shared" si="10"/>
        <v>6.0142242802338471E-5</v>
      </c>
      <c r="M28" s="107">
        <f t="shared" si="10"/>
        <v>6.0142242802338471E-5</v>
      </c>
    </row>
    <row r="29" spans="2:13" x14ac:dyDescent="0.25">
      <c r="I29" s="106"/>
      <c r="J29" s="106"/>
      <c r="K29" s="106"/>
      <c r="L29" s="106"/>
      <c r="M29" s="106"/>
    </row>
    <row r="30" spans="2:13" x14ac:dyDescent="0.25">
      <c r="I30" s="106"/>
      <c r="J30" s="106"/>
      <c r="K30" s="106"/>
      <c r="L30" s="106"/>
      <c r="M30" s="106"/>
    </row>
    <row r="31" spans="2:13" x14ac:dyDescent="0.25">
      <c r="B31" t="str">
        <f>'INCOME STATEMENT'!B10</f>
        <v>Employee benefits expenses</v>
      </c>
      <c r="C31">
        <f>'INCOME STATEMENT'!C10</f>
        <v>-930.35</v>
      </c>
      <c r="D31">
        <f>'INCOME STATEMENT'!D10</f>
        <v>-1178.72</v>
      </c>
      <c r="E31">
        <f>'INCOME STATEMENT'!E10</f>
        <v>-1339.46</v>
      </c>
      <c r="F31">
        <f>'INCOME STATEMENT'!F10</f>
        <v>-1432.49</v>
      </c>
      <c r="G31">
        <f>'INCOME STATEMENT'!G10</f>
        <v>-1583.71</v>
      </c>
      <c r="H31">
        <f>'INCOME STATEMENT'!H10</f>
        <v>-1778.03</v>
      </c>
      <c r="I31" s="112">
        <f>-I32*I7</f>
        <v>-1090.508583</v>
      </c>
      <c r="J31" s="112">
        <f t="shared" ref="J31:M31" si="11">-J32*J7</f>
        <v>-1166.8441838100002</v>
      </c>
      <c r="K31" s="112">
        <f t="shared" si="11"/>
        <v>-1248.5232766767003</v>
      </c>
      <c r="L31" s="112">
        <f t="shared" si="11"/>
        <v>-1335.9199060440694</v>
      </c>
      <c r="M31" s="112">
        <f t="shared" si="11"/>
        <v>-1429.4342994671542</v>
      </c>
    </row>
    <row r="32" spans="2:13" x14ac:dyDescent="0.25">
      <c r="B32" t="s">
        <v>140</v>
      </c>
      <c r="C32" s="103">
        <f>-C31/C7</f>
        <v>3.4450695901465128E-2</v>
      </c>
      <c r="D32" s="103">
        <f t="shared" ref="D32:H32" si="12">-D31/D7</f>
        <v>4.0616133569576218E-2</v>
      </c>
      <c r="E32" s="103">
        <f t="shared" si="12"/>
        <v>4.3608842880737402E-2</v>
      </c>
      <c r="F32" s="103">
        <f t="shared" si="12"/>
        <v>4.6233724485745066E-2</v>
      </c>
      <c r="G32" s="103">
        <f t="shared" si="12"/>
        <v>4.7844864828612117E-2</v>
      </c>
      <c r="H32" s="103">
        <f t="shared" si="12"/>
        <v>5.2337747625045512E-2</v>
      </c>
      <c r="I32" s="109">
        <f>CHOOSE($C$4,I34,I35,I36)</f>
        <v>0.03</v>
      </c>
      <c r="J32" s="109">
        <f t="shared" ref="J32:M32" si="13">CHOOSE($C$4,J34,J35,J36)</f>
        <v>0.03</v>
      </c>
      <c r="K32" s="109">
        <f t="shared" si="13"/>
        <v>0.03</v>
      </c>
      <c r="L32" s="109">
        <f t="shared" si="13"/>
        <v>0.03</v>
      </c>
      <c r="M32" s="109">
        <f t="shared" si="13"/>
        <v>0.03</v>
      </c>
    </row>
    <row r="33" spans="2:13" x14ac:dyDescent="0.25">
      <c r="I33" s="106"/>
      <c r="J33" s="106"/>
      <c r="K33" s="106"/>
      <c r="L33" s="106"/>
      <c r="M33" s="106"/>
    </row>
    <row r="34" spans="2:13" ht="18.75" x14ac:dyDescent="0.3">
      <c r="B34" s="3" t="s">
        <v>5</v>
      </c>
      <c r="C34" s="108"/>
      <c r="D34" s="108"/>
      <c r="E34" s="108"/>
      <c r="F34" s="108"/>
      <c r="G34" s="108"/>
      <c r="H34" s="108"/>
      <c r="I34" s="107">
        <v>0.03</v>
      </c>
      <c r="J34" s="107">
        <v>0.03</v>
      </c>
      <c r="K34" s="107">
        <v>0.03</v>
      </c>
      <c r="L34" s="107">
        <v>0.03</v>
      </c>
      <c r="M34" s="107">
        <v>0.03</v>
      </c>
    </row>
    <row r="35" spans="2:13" ht="18.75" x14ac:dyDescent="0.3">
      <c r="B35" s="3" t="s">
        <v>8</v>
      </c>
      <c r="C35" s="108"/>
      <c r="D35" s="108"/>
      <c r="E35" s="108"/>
      <c r="F35" s="108"/>
      <c r="G35" s="108"/>
      <c r="H35" s="108"/>
      <c r="I35" s="107">
        <v>0.04</v>
      </c>
      <c r="J35" s="107">
        <v>0.04</v>
      </c>
      <c r="K35" s="107">
        <v>0.04</v>
      </c>
      <c r="L35" s="107">
        <v>0.04</v>
      </c>
      <c r="M35" s="107">
        <v>0.04</v>
      </c>
    </row>
    <row r="36" spans="2:13" ht="18.75" x14ac:dyDescent="0.3">
      <c r="B36" s="3" t="s">
        <v>11</v>
      </c>
      <c r="C36" s="108"/>
      <c r="D36" s="108"/>
      <c r="E36" s="108"/>
      <c r="F36" s="108"/>
      <c r="G36" s="108"/>
      <c r="H36" s="108"/>
      <c r="I36" s="107">
        <v>0.05</v>
      </c>
      <c r="J36" s="107">
        <v>0.05</v>
      </c>
      <c r="K36" s="107">
        <v>0.05</v>
      </c>
      <c r="L36" s="107">
        <v>0.05</v>
      </c>
      <c r="M36" s="107">
        <v>0.05</v>
      </c>
    </row>
    <row r="37" spans="2:13" x14ac:dyDescent="0.25">
      <c r="I37" s="106"/>
      <c r="J37" s="106"/>
      <c r="K37" s="106"/>
      <c r="L37" s="106"/>
      <c r="M37" s="106"/>
    </row>
    <row r="38" spans="2:13" x14ac:dyDescent="0.25">
      <c r="B38" t="str">
        <f>'INCOME STATEMENT'!B11</f>
        <v>Other expenses</v>
      </c>
      <c r="C38">
        <f>'INCOME STATEMENT'!C11</f>
        <v>-2425.5700000000002</v>
      </c>
      <c r="D38">
        <f>'INCOME STATEMENT'!D11</f>
        <v>-2912.5800000000004</v>
      </c>
      <c r="E38">
        <f>'INCOME STATEMENT'!E11</f>
        <v>-3411.86</v>
      </c>
      <c r="F38">
        <f>'INCOME STATEMENT'!F11</f>
        <v>-3485.89</v>
      </c>
      <c r="G38">
        <f>'INCOME STATEMENT'!G11</f>
        <v>-3663.79</v>
      </c>
      <c r="H38">
        <f>'INCOME STATEMENT'!H11</f>
        <v>-3729.94</v>
      </c>
      <c r="I38" s="110">
        <f>-I39*I7</f>
        <v>-3271.5257490000004</v>
      </c>
      <c r="J38" s="110">
        <f t="shared" ref="J38:M38" si="14">-J39*J7</f>
        <v>-3500.5325514300007</v>
      </c>
      <c r="K38" s="110">
        <f t="shared" si="14"/>
        <v>-3745.569830030101</v>
      </c>
      <c r="L38" s="110">
        <f t="shared" si="14"/>
        <v>-4007.759718132208</v>
      </c>
      <c r="M38" s="110">
        <f t="shared" si="14"/>
        <v>-4288.3028984014627</v>
      </c>
    </row>
    <row r="39" spans="2:13" x14ac:dyDescent="0.25">
      <c r="B39" t="s">
        <v>140</v>
      </c>
      <c r="C39" s="103">
        <f>-C38/C7</f>
        <v>8.9818427965514883E-2</v>
      </c>
      <c r="D39" s="103">
        <f t="shared" ref="D39:H39" si="15">-D38/D7</f>
        <v>0.10036118697576719</v>
      </c>
      <c r="E39" s="103">
        <f t="shared" si="15"/>
        <v>0.11108003723222247</v>
      </c>
      <c r="F39" s="103">
        <f t="shared" si="15"/>
        <v>0.11250736678623506</v>
      </c>
      <c r="G39" s="103">
        <f t="shared" si="15"/>
        <v>0.11068537630653388</v>
      </c>
      <c r="H39" s="103">
        <f t="shared" si="15"/>
        <v>0.10979379334238581</v>
      </c>
      <c r="I39" s="109">
        <f>CHOOSE($C$4,I41,I42,I43)</f>
        <v>0.09</v>
      </c>
      <c r="J39" s="109">
        <f t="shared" ref="J39:M39" si="16">CHOOSE($C$4,J41,J42,J43)</f>
        <v>0.09</v>
      </c>
      <c r="K39" s="109">
        <f t="shared" si="16"/>
        <v>0.09</v>
      </c>
      <c r="L39" s="109">
        <f t="shared" si="16"/>
        <v>0.09</v>
      </c>
      <c r="M39" s="109">
        <f t="shared" si="16"/>
        <v>0.09</v>
      </c>
    </row>
    <row r="40" spans="2:13" x14ac:dyDescent="0.25">
      <c r="I40" s="106"/>
      <c r="J40" s="106"/>
      <c r="K40" s="106"/>
      <c r="L40" s="106"/>
      <c r="M40" s="106"/>
    </row>
    <row r="41" spans="2:13" ht="18.75" x14ac:dyDescent="0.3">
      <c r="B41" s="3" t="s">
        <v>5</v>
      </c>
      <c r="C41" s="108"/>
      <c r="D41" s="108"/>
      <c r="E41" s="108"/>
      <c r="F41" s="108"/>
      <c r="G41" s="108"/>
      <c r="H41" s="108"/>
      <c r="I41" s="107">
        <v>0.09</v>
      </c>
      <c r="J41" s="107">
        <v>0.09</v>
      </c>
      <c r="K41" s="107">
        <v>0.09</v>
      </c>
      <c r="L41" s="107">
        <v>0.09</v>
      </c>
      <c r="M41" s="107">
        <v>0.09</v>
      </c>
    </row>
    <row r="42" spans="2:13" ht="18.75" x14ac:dyDescent="0.3">
      <c r="B42" s="3" t="s">
        <v>8</v>
      </c>
      <c r="C42" s="108"/>
      <c r="D42" s="108"/>
      <c r="E42" s="108"/>
      <c r="F42" s="108"/>
      <c r="G42" s="108"/>
      <c r="H42" s="108"/>
      <c r="I42" s="107">
        <v>0.11</v>
      </c>
      <c r="J42" s="107">
        <v>0.11</v>
      </c>
      <c r="K42" s="107">
        <v>0.11</v>
      </c>
      <c r="L42" s="107">
        <v>0.11</v>
      </c>
      <c r="M42" s="107">
        <v>0.11</v>
      </c>
    </row>
    <row r="43" spans="2:13" ht="18.75" x14ac:dyDescent="0.3">
      <c r="B43" s="3" t="s">
        <v>11</v>
      </c>
      <c r="C43" s="108"/>
      <c r="D43" s="108"/>
      <c r="E43" s="108"/>
      <c r="F43" s="108"/>
      <c r="G43" s="108"/>
      <c r="H43" s="108"/>
      <c r="I43" s="107">
        <v>0.11</v>
      </c>
      <c r="J43" s="107">
        <v>0.11</v>
      </c>
      <c r="K43" s="107">
        <v>0.11</v>
      </c>
      <c r="L43" s="107">
        <v>0.11</v>
      </c>
      <c r="M43" s="107">
        <v>0.11</v>
      </c>
    </row>
    <row r="44" spans="2:13" x14ac:dyDescent="0.25">
      <c r="I44" s="106"/>
      <c r="J44" s="106"/>
      <c r="K44" s="106"/>
      <c r="L44" s="106"/>
      <c r="M44" s="106"/>
    </row>
    <row r="45" spans="2:13" x14ac:dyDescent="0.25">
      <c r="B45" t="str">
        <f>'INCOME STATEMENT'!B14</f>
        <v>Depreciation and amortisation expenses</v>
      </c>
      <c r="C45">
        <f>'INCOME STATEMENT'!C14</f>
        <v>-1107.3699999999999</v>
      </c>
      <c r="D45">
        <f>'INCOME STATEMENT'!D14</f>
        <v>-540.45000000000005</v>
      </c>
      <c r="E45">
        <f>'INCOME STATEMENT'!E14</f>
        <v>-443.25</v>
      </c>
      <c r="F45">
        <f>'INCOME STATEMENT'!F14</f>
        <v>-502.25</v>
      </c>
      <c r="G45">
        <f>'INCOME STATEMENT'!G14</f>
        <v>-574.98</v>
      </c>
      <c r="H45">
        <f>'INCOME STATEMENT'!H14</f>
        <v>-624.44000000000005</v>
      </c>
      <c r="I45" s="110">
        <f>-I46*I7</f>
        <v>-363.50286100000005</v>
      </c>
      <c r="J45" s="110">
        <f t="shared" ref="J45:M45" si="17">-J46*J7</f>
        <v>-388.9480612700001</v>
      </c>
      <c r="K45" s="110">
        <f t="shared" si="17"/>
        <v>-416.17442555890011</v>
      </c>
      <c r="L45" s="110">
        <f t="shared" si="17"/>
        <v>-445.30663534802312</v>
      </c>
      <c r="M45" s="110">
        <f t="shared" si="17"/>
        <v>-476.47809982238476</v>
      </c>
    </row>
    <row r="46" spans="2:13" x14ac:dyDescent="0.25">
      <c r="B46" t="s">
        <v>140</v>
      </c>
      <c r="C46" s="103">
        <f>-C45/C7</f>
        <v>4.1005715182893997E-2</v>
      </c>
      <c r="D46" s="103">
        <f t="shared" ref="D46:H46" si="18">-D45/D7</f>
        <v>1.8622734311522216E-2</v>
      </c>
      <c r="E46" s="103">
        <f t="shared" si="18"/>
        <v>1.4430904698077474E-2</v>
      </c>
      <c r="F46" s="103">
        <f t="shared" si="18"/>
        <v>1.6210157224808175E-2</v>
      </c>
      <c r="G46" s="103">
        <f t="shared" si="18"/>
        <v>1.7370503677539065E-2</v>
      </c>
      <c r="H46" s="103">
        <f t="shared" si="18"/>
        <v>1.8380895219418918E-2</v>
      </c>
      <c r="I46" s="109">
        <f>CHOOSE($C$4,I48,I49,I50)</f>
        <v>0.01</v>
      </c>
      <c r="J46" s="109">
        <f t="shared" ref="J46:M46" si="19">CHOOSE($C$4,J48,J49,J50)</f>
        <v>0.01</v>
      </c>
      <c r="K46" s="109">
        <f t="shared" si="19"/>
        <v>0.01</v>
      </c>
      <c r="L46" s="109">
        <f t="shared" si="19"/>
        <v>0.01</v>
      </c>
      <c r="M46" s="109">
        <f t="shared" si="19"/>
        <v>0.01</v>
      </c>
    </row>
    <row r="47" spans="2:13" x14ac:dyDescent="0.25">
      <c r="I47" s="106"/>
      <c r="J47" s="106"/>
      <c r="K47" s="106"/>
      <c r="L47" s="106"/>
      <c r="M47" s="106"/>
    </row>
    <row r="48" spans="2:13" ht="18.75" x14ac:dyDescent="0.3">
      <c r="B48" s="3" t="s">
        <v>5</v>
      </c>
      <c r="C48" s="108"/>
      <c r="D48" s="108"/>
      <c r="E48" s="108"/>
      <c r="F48" s="108"/>
      <c r="G48" s="108"/>
      <c r="H48" s="108"/>
      <c r="I48" s="107">
        <v>0.01</v>
      </c>
      <c r="J48" s="107">
        <v>0.01</v>
      </c>
      <c r="K48" s="107">
        <v>0.01</v>
      </c>
      <c r="L48" s="107">
        <v>0.01</v>
      </c>
      <c r="M48" s="107">
        <v>0.01</v>
      </c>
    </row>
    <row r="49" spans="2:13" ht="18.75" x14ac:dyDescent="0.3">
      <c r="B49" s="3" t="s">
        <v>8</v>
      </c>
      <c r="C49" s="108"/>
      <c r="D49" s="108"/>
      <c r="E49" s="108"/>
      <c r="F49" s="108"/>
      <c r="G49" s="108"/>
      <c r="H49" s="108"/>
      <c r="I49" s="107">
        <v>0.02</v>
      </c>
      <c r="J49" s="107">
        <v>0.02</v>
      </c>
      <c r="K49" s="107">
        <v>0.02</v>
      </c>
      <c r="L49" s="107">
        <v>0.02</v>
      </c>
      <c r="M49" s="107">
        <v>0.02</v>
      </c>
    </row>
    <row r="50" spans="2:13" ht="18.75" x14ac:dyDescent="0.3">
      <c r="B50" s="3" t="s">
        <v>11</v>
      </c>
      <c r="C50" s="108"/>
      <c r="D50" s="108"/>
      <c r="E50" s="108"/>
      <c r="F50" s="108"/>
      <c r="G50" s="108"/>
      <c r="H50" s="108"/>
      <c r="I50" s="107">
        <v>0.04</v>
      </c>
      <c r="J50" s="107">
        <v>0.04</v>
      </c>
      <c r="K50" s="107">
        <v>0.04</v>
      </c>
      <c r="L50" s="107">
        <v>0.04</v>
      </c>
      <c r="M50" s="107">
        <v>0.04</v>
      </c>
    </row>
    <row r="51" spans="2:13" x14ac:dyDescent="0.25">
      <c r="I51" s="106"/>
      <c r="J51" s="106"/>
      <c r="K51" s="106"/>
      <c r="L51" s="106"/>
      <c r="M51" s="106"/>
    </row>
    <row r="52" spans="2:13" x14ac:dyDescent="0.25">
      <c r="B52" t="s">
        <v>141</v>
      </c>
      <c r="C52" s="113">
        <v>0.34</v>
      </c>
      <c r="D52" s="113">
        <v>0.34599999999999997</v>
      </c>
      <c r="E52" s="113">
        <v>0.34599999999999997</v>
      </c>
      <c r="F52" s="113">
        <v>0.34599999999999997</v>
      </c>
      <c r="G52" s="113">
        <v>0.35</v>
      </c>
      <c r="H52" s="113">
        <v>0.35</v>
      </c>
      <c r="I52" s="109">
        <f>CHOOSE($C$4,I54,I55,I56)</f>
        <v>0.3</v>
      </c>
      <c r="J52" s="109">
        <f t="shared" ref="J52:M52" si="20">CHOOSE($C$4,J54,J55,J56)</f>
        <v>0.3</v>
      </c>
      <c r="K52" s="109">
        <f t="shared" si="20"/>
        <v>0.3</v>
      </c>
      <c r="L52" s="109">
        <f t="shared" si="20"/>
        <v>0.3</v>
      </c>
      <c r="M52" s="109">
        <f t="shared" si="20"/>
        <v>0.3</v>
      </c>
    </row>
    <row r="53" spans="2:13" x14ac:dyDescent="0.25">
      <c r="I53" s="106"/>
      <c r="J53" s="106"/>
      <c r="K53" s="106"/>
      <c r="L53" s="106"/>
      <c r="M53" s="106"/>
    </row>
    <row r="54" spans="2:13" ht="18.75" x14ac:dyDescent="0.3">
      <c r="B54" s="3" t="s">
        <v>5</v>
      </c>
      <c r="C54" s="108"/>
      <c r="D54" s="108"/>
      <c r="E54" s="108"/>
      <c r="F54" s="108"/>
      <c r="G54" s="108"/>
      <c r="H54" s="108"/>
      <c r="I54" s="107">
        <v>0.3</v>
      </c>
      <c r="J54" s="107">
        <v>0.3</v>
      </c>
      <c r="K54" s="107">
        <v>0.3</v>
      </c>
      <c r="L54" s="107">
        <v>0.3</v>
      </c>
      <c r="M54" s="107">
        <v>0.3</v>
      </c>
    </row>
    <row r="55" spans="2:13" ht="18.75" x14ac:dyDescent="0.3">
      <c r="B55" s="3" t="s">
        <v>8</v>
      </c>
      <c r="C55" s="108"/>
      <c r="D55" s="108"/>
      <c r="E55" s="108"/>
      <c r="F55" s="108"/>
      <c r="G55" s="108"/>
      <c r="H55" s="108"/>
      <c r="I55" s="107">
        <v>0.35</v>
      </c>
      <c r="J55" s="107">
        <v>0.35</v>
      </c>
      <c r="K55" s="107">
        <v>0.35</v>
      </c>
      <c r="L55" s="107">
        <v>0.35</v>
      </c>
      <c r="M55" s="107">
        <v>0.35</v>
      </c>
    </row>
    <row r="56" spans="2:13" ht="18.75" x14ac:dyDescent="0.3">
      <c r="B56" s="3" t="s">
        <v>11</v>
      </c>
      <c r="C56" s="108"/>
      <c r="D56" s="108"/>
      <c r="E56" s="108"/>
      <c r="F56" s="108"/>
      <c r="G56" s="108"/>
      <c r="H56" s="108"/>
      <c r="I56" s="107">
        <v>0.35</v>
      </c>
      <c r="J56" s="107">
        <v>0.35</v>
      </c>
      <c r="K56" s="107">
        <v>0.35</v>
      </c>
      <c r="L56" s="107">
        <v>0.35</v>
      </c>
      <c r="M56" s="107">
        <v>0.35</v>
      </c>
    </row>
    <row r="57" spans="2:13" x14ac:dyDescent="0.25">
      <c r="I57" s="106"/>
      <c r="J57" s="106"/>
      <c r="K57" s="106"/>
      <c r="L57" s="106"/>
      <c r="M57" s="106"/>
    </row>
    <row r="58" spans="2:13" x14ac:dyDescent="0.25">
      <c r="I58" s="106"/>
      <c r="J58" s="106"/>
      <c r="K58" s="106"/>
      <c r="L58" s="106"/>
      <c r="M58" s="106"/>
    </row>
    <row r="59" spans="2:13" x14ac:dyDescent="0.25">
      <c r="I59" s="106"/>
      <c r="J59" s="106"/>
      <c r="K59" s="106"/>
      <c r="L59" s="106"/>
      <c r="M59" s="106"/>
    </row>
    <row r="60" spans="2:13" x14ac:dyDescent="0.25">
      <c r="I60" s="106"/>
      <c r="J60" s="106"/>
      <c r="K60" s="106"/>
      <c r="L60" s="106"/>
      <c r="M60" s="106"/>
    </row>
    <row r="61" spans="2:13" x14ac:dyDescent="0.25">
      <c r="I61" s="106"/>
      <c r="J61" s="106"/>
      <c r="K61" s="106"/>
      <c r="L61" s="106"/>
      <c r="M61" s="106"/>
    </row>
    <row r="62" spans="2:13" x14ac:dyDescent="0.25">
      <c r="I62" s="106"/>
      <c r="J62" s="106"/>
      <c r="K62" s="106"/>
      <c r="L62" s="106"/>
      <c r="M62" s="106"/>
    </row>
    <row r="63" spans="2:13" x14ac:dyDescent="0.25">
      <c r="I63" s="106"/>
      <c r="J63" s="106"/>
      <c r="K63" s="106"/>
      <c r="L63" s="106"/>
      <c r="M63" s="106"/>
    </row>
    <row r="64" spans="2:13" x14ac:dyDescent="0.25">
      <c r="I64" s="106"/>
      <c r="J64" s="106"/>
      <c r="K64" s="106"/>
      <c r="L64" s="106"/>
      <c r="M64" s="106"/>
    </row>
    <row r="65" spans="9:13" x14ac:dyDescent="0.25">
      <c r="I65" s="106"/>
      <c r="J65" s="106"/>
      <c r="K65" s="106"/>
      <c r="L65" s="106"/>
      <c r="M65" s="10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29B0A-EB7D-4757-A922-BAC73458A971}">
  <dimension ref="B1:M36"/>
  <sheetViews>
    <sheetView showGridLines="0" workbookViewId="0">
      <selection activeCell="C11" sqref="C11"/>
    </sheetView>
  </sheetViews>
  <sheetFormatPr defaultRowHeight="15" x14ac:dyDescent="0.25"/>
  <cols>
    <col min="2" max="2" width="28.85546875" bestFit="1" customWidth="1"/>
    <col min="3" max="3" width="15" customWidth="1"/>
    <col min="4" max="4" width="16.28515625" customWidth="1"/>
    <col min="5" max="5" width="15.7109375" customWidth="1"/>
    <col min="6" max="6" width="14.140625" customWidth="1"/>
    <col min="7" max="7" width="14.28515625" customWidth="1"/>
    <col min="8" max="8" width="15.28515625" customWidth="1"/>
    <col min="9" max="9" width="19" customWidth="1"/>
    <col min="10" max="10" width="16.140625" customWidth="1"/>
    <col min="11" max="11" width="14.7109375" customWidth="1"/>
    <col min="12" max="12" width="13.42578125" customWidth="1"/>
    <col min="13" max="13" width="13.28515625" customWidth="1"/>
  </cols>
  <sheetData>
    <row r="1" spans="2:13" ht="18" x14ac:dyDescent="0.25">
      <c r="B1" s="10" t="s">
        <v>37</v>
      </c>
      <c r="C1" s="10"/>
      <c r="D1" s="10"/>
      <c r="E1" s="10"/>
      <c r="F1" s="9"/>
      <c r="G1" s="9"/>
      <c r="H1" s="9"/>
      <c r="I1" s="9"/>
      <c r="J1" s="9"/>
      <c r="K1" s="9"/>
      <c r="L1" s="9"/>
      <c r="M1" s="9"/>
    </row>
    <row r="4" spans="2:13" ht="54.75" thickBot="1" x14ac:dyDescent="0.3">
      <c r="B4" s="11" t="s">
        <v>14</v>
      </c>
      <c r="C4" s="7" t="s">
        <v>15</v>
      </c>
      <c r="D4" s="7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114" t="s">
        <v>21</v>
      </c>
      <c r="J4" s="114" t="s">
        <v>22</v>
      </c>
      <c r="K4" s="114" t="s">
        <v>23</v>
      </c>
      <c r="L4" s="114" t="s">
        <v>24</v>
      </c>
      <c r="M4" s="114" t="s">
        <v>25</v>
      </c>
    </row>
    <row r="5" spans="2:13" x14ac:dyDescent="0.25">
      <c r="B5" s="116" t="s">
        <v>143</v>
      </c>
      <c r="C5">
        <f>'BALANCE  SHEET'!C24</f>
        <v>920.58</v>
      </c>
      <c r="D5">
        <f>'BALANCE  SHEET'!D24</f>
        <v>1371.82</v>
      </c>
      <c r="E5">
        <f>'BALANCE  SHEET'!E24</f>
        <v>1282.08</v>
      </c>
      <c r="F5">
        <f>'BALANCE  SHEET'!F24</f>
        <v>1551.75</v>
      </c>
      <c r="G5">
        <f>'BALANCE  SHEET'!G24</f>
        <v>1426.97</v>
      </c>
      <c r="H5">
        <f>'BALANCE  SHEET'!H24</f>
        <v>2745.11</v>
      </c>
      <c r="I5" s="120">
        <f>I6*'P&amp;L ASSUMPTION '!I7/365</f>
        <v>2937.2677000000003</v>
      </c>
      <c r="J5" s="120">
        <f>J6*'P&amp;L ASSUMPTION '!J7/365</f>
        <v>3142.8764390000001</v>
      </c>
      <c r="K5" s="120">
        <f>K6*'P&amp;L ASSUMPTION '!K7/365</f>
        <v>3362.8777897300001</v>
      </c>
      <c r="L5" s="120">
        <f>L6*'P&amp;L ASSUMPTION '!L7/365</f>
        <v>3598.2792350111008</v>
      </c>
      <c r="M5" s="120">
        <f>M6*'P&amp;L ASSUMPTION '!M7/365</f>
        <v>3850.1587814618774</v>
      </c>
    </row>
    <row r="6" spans="2:13" x14ac:dyDescent="0.25">
      <c r="B6" s="116" t="s">
        <v>144</v>
      </c>
      <c r="C6" s="117">
        <f>C5/'P&amp;L ASSUMPTION '!C7*365</f>
        <v>12.44245380344422</v>
      </c>
      <c r="D6" s="117">
        <f>D5/'P&amp;L ASSUMPTION '!D7*365</f>
        <v>17.253528309519528</v>
      </c>
      <c r="E6" s="117">
        <f>E5/'P&amp;L ASSUMPTION '!E7*365</f>
        <v>15.235362927893007</v>
      </c>
      <c r="F6" s="117">
        <f>F5/'P&amp;L ASSUMPTION '!F7*365</f>
        <v>18.28024029440034</v>
      </c>
      <c r="G6" s="117">
        <f>G5/'P&amp;L ASSUMPTION '!G7*365</f>
        <v>15.735022932883476</v>
      </c>
      <c r="H6" s="117">
        <f>H5/'P&amp;L ASSUMPTION '!H7*365</f>
        <v>29.493652609793347</v>
      </c>
      <c r="I6" s="120">
        <f>H6</f>
        <v>29.493652609793347</v>
      </c>
      <c r="J6" s="120">
        <f t="shared" ref="J6:M6" si="0">I6</f>
        <v>29.493652609793347</v>
      </c>
      <c r="K6" s="120">
        <f t="shared" si="0"/>
        <v>29.493652609793347</v>
      </c>
      <c r="L6" s="120">
        <f t="shared" si="0"/>
        <v>29.493652609793347</v>
      </c>
      <c r="M6" s="120">
        <f t="shared" si="0"/>
        <v>29.493652609793347</v>
      </c>
    </row>
    <row r="7" spans="2:13" x14ac:dyDescent="0.25">
      <c r="B7" s="116"/>
      <c r="I7" s="115"/>
      <c r="J7" s="115"/>
      <c r="K7" s="115"/>
      <c r="L7" s="115"/>
      <c r="M7" s="115"/>
    </row>
    <row r="8" spans="2:13" x14ac:dyDescent="0.25">
      <c r="B8" s="116" t="s">
        <v>145</v>
      </c>
      <c r="C8">
        <f>'BALANCE  SHEET'!C49</f>
        <v>2291.0100000000002</v>
      </c>
      <c r="D8">
        <f>'BALANCE  SHEET'!D49</f>
        <v>2713.09</v>
      </c>
      <c r="E8">
        <f>'BALANCE  SHEET'!E49</f>
        <v>2791.7</v>
      </c>
      <c r="F8">
        <f>'BALANCE  SHEET'!F49</f>
        <v>3266.2</v>
      </c>
      <c r="G8">
        <f>'BALANCE  SHEET'!G49</f>
        <v>3375.26</v>
      </c>
      <c r="H8">
        <f>'BALANCE  SHEET'!H49</f>
        <v>3438.24</v>
      </c>
      <c r="I8" s="120">
        <f>-'BALANCE SHEET ASSUMPTION'!I9*'P&amp;L ASSUMPTION '!I15/365</f>
        <v>3305.1883886181736</v>
      </c>
      <c r="J8" s="120">
        <f>-'BALANCE SHEET ASSUMPTION'!J9*'P&amp;L ASSUMPTION '!J15/365</f>
        <v>3536.5515758214469</v>
      </c>
      <c r="K8" s="120">
        <f>-'BALANCE SHEET ASSUMPTION'!K9*'P&amp;L ASSUMPTION '!K15/365</f>
        <v>3784.1101861289471</v>
      </c>
      <c r="L8" s="120">
        <f>-'BALANCE SHEET ASSUMPTION'!L9*'P&amp;L ASSUMPTION '!L15/365</f>
        <v>4048.9978991579742</v>
      </c>
      <c r="M8" s="120">
        <f>-'BALANCE SHEET ASSUMPTION'!M9*'P&amp;L ASSUMPTION '!M15/365</f>
        <v>4332.4277520990327</v>
      </c>
    </row>
    <row r="9" spans="2:13" x14ac:dyDescent="0.25">
      <c r="B9" s="116" t="s">
        <v>146</v>
      </c>
      <c r="C9" s="118">
        <f>-C8/'P&amp;L ASSUMPTION '!C15*365</f>
        <v>45.870745791664135</v>
      </c>
      <c r="D9" s="118">
        <f>-D8/'P&amp;L ASSUMPTION '!D15*365</f>
        <v>50.228900904373752</v>
      </c>
      <c r="E9" s="118">
        <f>-E8/'P&amp;L ASSUMPTION '!E15*365</f>
        <v>52.774250185155452</v>
      </c>
      <c r="F9" s="118">
        <f>-F8/'P&amp;L ASSUMPTION '!F15*365</f>
        <v>62.364407347113001</v>
      </c>
      <c r="G9" s="118">
        <f>-G8/'P&amp;L ASSUMPTION '!G15*365</f>
        <v>56.290780971423509</v>
      </c>
      <c r="H9" s="118">
        <f>-H8/'P&amp;L ASSUMPTION '!H15*365</f>
        <v>53.529052968680816</v>
      </c>
      <c r="I9" s="120">
        <f>H9</f>
        <v>53.529052968680816</v>
      </c>
      <c r="J9" s="120">
        <f t="shared" ref="J9:M9" si="1">I9</f>
        <v>53.529052968680816</v>
      </c>
      <c r="K9" s="120">
        <f t="shared" si="1"/>
        <v>53.529052968680816</v>
      </c>
      <c r="L9" s="120">
        <f t="shared" si="1"/>
        <v>53.529052968680816</v>
      </c>
      <c r="M9" s="120">
        <f t="shared" si="1"/>
        <v>53.529052968680816</v>
      </c>
    </row>
    <row r="10" spans="2:13" x14ac:dyDescent="0.25">
      <c r="B10" s="116"/>
      <c r="I10" s="115"/>
      <c r="J10" s="115"/>
      <c r="K10" s="115"/>
      <c r="L10" s="115"/>
      <c r="M10" s="115"/>
    </row>
    <row r="11" spans="2:13" x14ac:dyDescent="0.25">
      <c r="B11" s="116" t="s">
        <v>147</v>
      </c>
      <c r="C11">
        <f>'BALANCE  SHEET'!C22</f>
        <v>669.55</v>
      </c>
      <c r="D11">
        <f>'BALANCE  SHEET'!D22</f>
        <v>861.39</v>
      </c>
      <c r="E11">
        <f>'BALANCE  SHEET'!E22</f>
        <v>761.99</v>
      </c>
      <c r="F11">
        <f>'BALANCE  SHEET'!F22</f>
        <v>708.58</v>
      </c>
      <c r="G11">
        <f>'BALANCE  SHEET'!G22</f>
        <v>962.68</v>
      </c>
      <c r="H11">
        <f>'BALANCE  SHEET'!H22</f>
        <v>1249.53</v>
      </c>
      <c r="I11" s="120">
        <f>-I12*'P&amp;L ASSUMPTION '!I15/365</f>
        <v>1201.1761969001777</v>
      </c>
      <c r="J11" s="120">
        <f>-J12*'P&amp;L ASSUMPTION '!J15/365</f>
        <v>1285.2585306831904</v>
      </c>
      <c r="K11" s="120">
        <f>-K12*'P&amp;L ASSUMPTION '!K15/365</f>
        <v>1375.2266278310137</v>
      </c>
      <c r="L11" s="120">
        <f>-L12*'P&amp;L ASSUMPTION '!L15/365</f>
        <v>1471.4924917791845</v>
      </c>
      <c r="M11" s="120">
        <f>-M12*'P&amp;L ASSUMPTION '!M15/365</f>
        <v>1574.4969662037277</v>
      </c>
    </row>
    <row r="12" spans="2:13" x14ac:dyDescent="0.25">
      <c r="B12" s="116" t="s">
        <v>148</v>
      </c>
      <c r="C12" s="118">
        <f>-C11/'P&amp;L ASSUMPTION '!C15*365</f>
        <v>13.4057720589647</v>
      </c>
      <c r="D12" s="118">
        <f>-D11/'P&amp;L ASSUMPTION '!D15*365</f>
        <v>15.947378431979221</v>
      </c>
      <c r="E12" s="118">
        <f>-E11/'P&amp;L ASSUMPTION '!E15*365</f>
        <v>14.404646236553573</v>
      </c>
      <c r="F12" s="118">
        <f>-F11/'P&amp;L ASSUMPTION '!F15*365</f>
        <v>13.529536390305962</v>
      </c>
      <c r="G12" s="118">
        <f>-G11/'P&amp;L ASSUMPTION '!G15*365</f>
        <v>16.055062136122839</v>
      </c>
      <c r="H12" s="118">
        <f>-H11/'P&amp;L ASSUMPTION '!H15*365</f>
        <v>19.453603458733465</v>
      </c>
      <c r="I12" s="120">
        <f>H12</f>
        <v>19.453603458733465</v>
      </c>
      <c r="J12" s="120">
        <f t="shared" ref="J12:M12" si="2">I12</f>
        <v>19.453603458733465</v>
      </c>
      <c r="K12" s="120">
        <f t="shared" si="2"/>
        <v>19.453603458733465</v>
      </c>
      <c r="L12" s="120">
        <f t="shared" si="2"/>
        <v>19.453603458733465</v>
      </c>
      <c r="M12" s="120">
        <f t="shared" si="2"/>
        <v>19.453603458733465</v>
      </c>
    </row>
    <row r="13" spans="2:13" x14ac:dyDescent="0.25">
      <c r="I13" s="115"/>
      <c r="J13" s="115"/>
      <c r="K13" s="115"/>
      <c r="L13" s="115"/>
      <c r="M13" s="115"/>
    </row>
    <row r="14" spans="2:13" x14ac:dyDescent="0.25">
      <c r="B14" s="116" t="s">
        <v>149</v>
      </c>
      <c r="C14" s="119">
        <f>C6+C12-C9</f>
        <v>-20.022519929255214</v>
      </c>
      <c r="D14" s="119">
        <f t="shared" ref="D14:H14" si="3">D6+D12-D9</f>
        <v>-17.027994162875004</v>
      </c>
      <c r="E14" s="119">
        <f t="shared" si="3"/>
        <v>-23.13424102070887</v>
      </c>
      <c r="F14" s="119">
        <f t="shared" si="3"/>
        <v>-30.554630662406701</v>
      </c>
      <c r="G14" s="119">
        <f t="shared" si="3"/>
        <v>-24.500695902417192</v>
      </c>
      <c r="H14" s="119">
        <f t="shared" si="3"/>
        <v>-4.5817969001540035</v>
      </c>
      <c r="I14" s="121">
        <f>I6+I12-I9</f>
        <v>-4.5817969001540035</v>
      </c>
      <c r="J14" s="121">
        <f t="shared" ref="J14:M14" si="4">J6+J12-J9</f>
        <v>-4.5817969001540035</v>
      </c>
      <c r="K14" s="121">
        <f t="shared" si="4"/>
        <v>-4.5817969001540035</v>
      </c>
      <c r="L14" s="121">
        <f t="shared" si="4"/>
        <v>-4.5817969001540035</v>
      </c>
      <c r="M14" s="121">
        <f t="shared" si="4"/>
        <v>-4.5817969001540035</v>
      </c>
    </row>
    <row r="15" spans="2:13" x14ac:dyDescent="0.25">
      <c r="I15" s="115"/>
      <c r="J15" s="115"/>
      <c r="K15" s="115"/>
      <c r="L15" s="115"/>
      <c r="M15" s="115"/>
    </row>
    <row r="16" spans="2:13" x14ac:dyDescent="0.25">
      <c r="B16" t="str">
        <f>'BALANCE  SHEET'!B8</f>
        <v>Property, plant and equipment</v>
      </c>
      <c r="C16">
        <f>SUM('BALANCE  SHEET'!C8:C11)</f>
        <v>3102.0299999999997</v>
      </c>
      <c r="D16">
        <f>SUM('BALANCE  SHEET'!D8:D11)</f>
        <v>3671.48</v>
      </c>
      <c r="E16">
        <f>SUM('BALANCE  SHEET'!E8:E11)</f>
        <v>4689.46</v>
      </c>
      <c r="F16">
        <f>SUM('BALANCE  SHEET'!F8:F11)</f>
        <v>5179.8099999999995</v>
      </c>
      <c r="G16">
        <f>SUM('BALANCE  SHEET'!G8:G11)</f>
        <v>5316.4400000000005</v>
      </c>
      <c r="H16">
        <f>SUM('BALANCE  SHEET'!H8:H11)</f>
        <v>5525.18</v>
      </c>
      <c r="I16" s="123">
        <f>I17*'P&amp;L ASSUMPTION '!I7</f>
        <v>5452.5429150000009</v>
      </c>
      <c r="J16" s="123">
        <f>J17*'P&amp;L ASSUMPTION '!J7</f>
        <v>5834.2209190500016</v>
      </c>
      <c r="K16" s="123">
        <f>K17*'P&amp;L ASSUMPTION '!K7</f>
        <v>6242.6163833835017</v>
      </c>
      <c r="L16" s="123">
        <f>L17*'P&amp;L ASSUMPTION '!L7</f>
        <v>6679.5995302203464</v>
      </c>
      <c r="M16" s="123">
        <f>M17*'P&amp;L ASSUMPTION '!M7</f>
        <v>7147.1714973357712</v>
      </c>
    </row>
    <row r="17" spans="2:13" x14ac:dyDescent="0.25">
      <c r="B17" t="s">
        <v>140</v>
      </c>
      <c r="C17" s="103">
        <f>C16/'P&amp;L ASSUMPTION '!C7</f>
        <v>0.1148676220854752</v>
      </c>
      <c r="D17" s="103">
        <f>D16/'P&amp;L ASSUMPTION '!D7</f>
        <v>0.12651123428636801</v>
      </c>
      <c r="E17" s="103">
        <f>E16/'P&amp;L ASSUMPTION '!E7</f>
        <v>0.15267490207658521</v>
      </c>
      <c r="F17" s="103">
        <f>F16/'P&amp;L ASSUMPTION '!F7</f>
        <v>0.16717876454879765</v>
      </c>
      <c r="G17" s="103">
        <f>G16/'P&amp;L ASSUMPTION '!G7</f>
        <v>0.16061296144459947</v>
      </c>
      <c r="H17" s="103">
        <f>H16/'P&amp;L ASSUMPTION '!H7</f>
        <v>0.16263813120304435</v>
      </c>
      <c r="I17" s="122">
        <v>0.15</v>
      </c>
      <c r="J17" s="122">
        <v>0.15</v>
      </c>
      <c r="K17" s="122">
        <v>0.15</v>
      </c>
      <c r="L17" s="122">
        <v>0.15</v>
      </c>
      <c r="M17" s="122">
        <v>0.15</v>
      </c>
    </row>
    <row r="18" spans="2:13" x14ac:dyDescent="0.25">
      <c r="I18" s="115"/>
      <c r="J18" s="115"/>
      <c r="K18" s="115"/>
      <c r="L18" s="115"/>
      <c r="M18" s="115"/>
    </row>
    <row r="19" spans="2:13" x14ac:dyDescent="0.25">
      <c r="I19" s="115"/>
      <c r="J19" s="115"/>
      <c r="K19" s="115"/>
      <c r="L19" s="115"/>
      <c r="M19" s="115"/>
    </row>
    <row r="20" spans="2:13" x14ac:dyDescent="0.25">
      <c r="I20" s="115"/>
      <c r="J20" s="115"/>
      <c r="K20" s="115"/>
      <c r="L20" s="115"/>
      <c r="M20" s="115"/>
    </row>
    <row r="21" spans="2:13" x14ac:dyDescent="0.25">
      <c r="I21" s="115"/>
      <c r="J21" s="115"/>
      <c r="K21" s="115"/>
      <c r="L21" s="115"/>
      <c r="M21" s="115"/>
    </row>
    <row r="22" spans="2:13" x14ac:dyDescent="0.25">
      <c r="I22" s="115"/>
      <c r="J22" s="115"/>
      <c r="K22" s="115"/>
      <c r="L22" s="115"/>
      <c r="M22" s="115"/>
    </row>
    <row r="23" spans="2:13" x14ac:dyDescent="0.25">
      <c r="I23" s="115"/>
      <c r="J23" s="115"/>
      <c r="K23" s="115"/>
      <c r="L23" s="115"/>
      <c r="M23" s="115"/>
    </row>
    <row r="24" spans="2:13" x14ac:dyDescent="0.25">
      <c r="I24" s="115"/>
      <c r="J24" s="115"/>
      <c r="K24" s="115"/>
      <c r="L24" s="115"/>
      <c r="M24" s="115"/>
    </row>
    <row r="25" spans="2:13" x14ac:dyDescent="0.25">
      <c r="I25" s="115"/>
      <c r="J25" s="115"/>
      <c r="K25" s="115"/>
      <c r="L25" s="115"/>
      <c r="M25" s="115"/>
    </row>
    <row r="26" spans="2:13" x14ac:dyDescent="0.25">
      <c r="I26" s="115"/>
      <c r="J26" s="115"/>
      <c r="K26" s="115"/>
      <c r="L26" s="115"/>
      <c r="M26" s="115"/>
    </row>
    <row r="27" spans="2:13" x14ac:dyDescent="0.25">
      <c r="I27" s="115"/>
      <c r="J27" s="115"/>
      <c r="K27" s="115"/>
      <c r="L27" s="115"/>
      <c r="M27" s="115"/>
    </row>
    <row r="28" spans="2:13" x14ac:dyDescent="0.25">
      <c r="I28" s="115"/>
      <c r="J28" s="115"/>
      <c r="K28" s="115"/>
      <c r="L28" s="115"/>
      <c r="M28" s="115"/>
    </row>
    <row r="29" spans="2:13" x14ac:dyDescent="0.25">
      <c r="I29" s="115"/>
      <c r="J29" s="115"/>
      <c r="K29" s="115"/>
      <c r="L29" s="115"/>
      <c r="M29" s="115"/>
    </row>
    <row r="30" spans="2:13" x14ac:dyDescent="0.25">
      <c r="I30" s="115"/>
      <c r="J30" s="115"/>
      <c r="K30" s="115"/>
      <c r="L30" s="115"/>
      <c r="M30" s="115"/>
    </row>
    <row r="31" spans="2:13" x14ac:dyDescent="0.25">
      <c r="I31" s="115"/>
      <c r="J31" s="115"/>
      <c r="K31" s="115"/>
      <c r="L31" s="115"/>
      <c r="M31" s="115"/>
    </row>
    <row r="32" spans="2:13" x14ac:dyDescent="0.25">
      <c r="I32" s="115"/>
      <c r="J32" s="115"/>
      <c r="K32" s="115"/>
      <c r="L32" s="115"/>
      <c r="M32" s="115"/>
    </row>
    <row r="33" spans="9:13" x14ac:dyDescent="0.25">
      <c r="I33" s="115"/>
      <c r="J33" s="115"/>
      <c r="K33" s="115"/>
      <c r="L33" s="115"/>
      <c r="M33" s="115"/>
    </row>
    <row r="34" spans="9:13" x14ac:dyDescent="0.25">
      <c r="I34" s="115"/>
      <c r="J34" s="115"/>
      <c r="K34" s="115"/>
      <c r="L34" s="115"/>
      <c r="M34" s="115"/>
    </row>
    <row r="35" spans="9:13" x14ac:dyDescent="0.25">
      <c r="I35" s="115"/>
      <c r="J35" s="115"/>
      <c r="K35" s="115"/>
      <c r="L35" s="115"/>
      <c r="M35" s="115"/>
    </row>
    <row r="36" spans="9:13" x14ac:dyDescent="0.25">
      <c r="I36" s="115"/>
      <c r="J36" s="115"/>
      <c r="K36" s="115"/>
      <c r="L36" s="115"/>
      <c r="M36" s="115"/>
    </row>
  </sheetData>
  <pageMargins left="0.7" right="0.7" top="0.75" bottom="0.75" header="0.3" footer="0.3"/>
  <pageSetup paperSize="9" orientation="portrait" r:id="rId1"/>
  <ignoredErrors>
    <ignoredError sqref="C16:H16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CC129-E750-41A7-BC15-EC0E3DB2008E}">
  <dimension ref="A8:G12"/>
  <sheetViews>
    <sheetView showGridLines="0" workbookViewId="0">
      <selection activeCell="A8" sqref="A8:G12"/>
    </sheetView>
  </sheetViews>
  <sheetFormatPr defaultRowHeight="15" x14ac:dyDescent="0.25"/>
  <sheetData>
    <row r="8" spans="1:7" x14ac:dyDescent="0.25">
      <c r="A8" s="197" t="s">
        <v>1</v>
      </c>
      <c r="B8" s="198"/>
      <c r="C8" s="198"/>
      <c r="D8" s="198"/>
      <c r="E8" s="198"/>
      <c r="F8" s="198"/>
      <c r="G8" s="198"/>
    </row>
    <row r="9" spans="1:7" x14ac:dyDescent="0.25">
      <c r="A9" s="198"/>
      <c r="B9" s="198"/>
      <c r="C9" s="198"/>
      <c r="D9" s="198"/>
      <c r="E9" s="198"/>
      <c r="F9" s="198"/>
      <c r="G9" s="198"/>
    </row>
    <row r="10" spans="1:7" x14ac:dyDescent="0.25">
      <c r="A10" s="198"/>
      <c r="B10" s="198"/>
      <c r="C10" s="198"/>
      <c r="D10" s="198"/>
      <c r="E10" s="198"/>
      <c r="F10" s="198"/>
      <c r="G10" s="198"/>
    </row>
    <row r="11" spans="1:7" x14ac:dyDescent="0.25">
      <c r="A11" s="198"/>
      <c r="B11" s="198"/>
      <c r="C11" s="198"/>
      <c r="D11" s="198"/>
      <c r="E11" s="198"/>
      <c r="F11" s="198"/>
      <c r="G11" s="198"/>
    </row>
    <row r="12" spans="1:7" x14ac:dyDescent="0.25">
      <c r="A12" s="198"/>
      <c r="B12" s="198"/>
      <c r="C12" s="198"/>
      <c r="D12" s="198"/>
      <c r="E12" s="198"/>
      <c r="F12" s="198"/>
      <c r="G12" s="198"/>
    </row>
  </sheetData>
  <mergeCells count="1">
    <mergeCell ref="A8:G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52028-5CD4-40FF-B6F3-314B485BE7C8}">
  <dimension ref="B1:P16"/>
  <sheetViews>
    <sheetView showGridLines="0" workbookViewId="0">
      <selection activeCell="M26" sqref="M26"/>
    </sheetView>
  </sheetViews>
  <sheetFormatPr defaultRowHeight="15" x14ac:dyDescent="0.25"/>
  <cols>
    <col min="2" max="2" width="57.5703125" bestFit="1" customWidth="1"/>
    <col min="3" max="3" width="12.42578125" customWidth="1"/>
    <col min="4" max="8" width="12.42578125" bestFit="1" customWidth="1"/>
    <col min="9" max="9" width="12.85546875" customWidth="1"/>
    <col min="10" max="13" width="13" bestFit="1" customWidth="1"/>
    <col min="14" max="14" width="3.140625" customWidth="1"/>
  </cols>
  <sheetData>
    <row r="1" spans="2:16" ht="18" x14ac:dyDescent="0.25">
      <c r="B1" s="14" t="s">
        <v>38</v>
      </c>
      <c r="C1" s="14"/>
      <c r="D1" s="14"/>
      <c r="E1" s="14"/>
      <c r="F1" s="13"/>
      <c r="G1" s="13"/>
      <c r="H1" s="13"/>
      <c r="I1" s="13"/>
      <c r="J1" s="13"/>
      <c r="K1" s="13"/>
      <c r="L1" s="13"/>
      <c r="M1" s="13"/>
      <c r="N1" s="13"/>
      <c r="O1" s="13"/>
    </row>
    <row r="3" spans="2:16" ht="54.75" thickBot="1" x14ac:dyDescent="0.3">
      <c r="B3" s="16" t="s">
        <v>14</v>
      </c>
      <c r="C3" s="17" t="s">
        <v>15</v>
      </c>
      <c r="D3" s="17" t="s">
        <v>16</v>
      </c>
      <c r="E3" s="17" t="s">
        <v>17</v>
      </c>
      <c r="F3" s="17" t="s">
        <v>18</v>
      </c>
      <c r="G3" s="17" t="s">
        <v>19</v>
      </c>
      <c r="H3" s="17" t="s">
        <v>20</v>
      </c>
      <c r="I3" s="17" t="s">
        <v>21</v>
      </c>
      <c r="J3" s="17" t="s">
        <v>22</v>
      </c>
      <c r="K3" s="17" t="s">
        <v>23</v>
      </c>
      <c r="L3" s="17" t="s">
        <v>24</v>
      </c>
      <c r="M3" s="17" t="s">
        <v>25</v>
      </c>
      <c r="N3" s="13"/>
      <c r="O3" s="12" t="s">
        <v>39</v>
      </c>
      <c r="P3" s="6"/>
    </row>
    <row r="4" spans="2:16" ht="18" x14ac:dyDescent="0.25">
      <c r="B4" s="15" t="s">
        <v>40</v>
      </c>
      <c r="C4" s="21">
        <f>'P&amp;L ASSUMPTION '!C7</f>
        <v>27005.26</v>
      </c>
      <c r="D4" s="61">
        <f>'P&amp;L ASSUMPTION '!D7</f>
        <v>29020.98</v>
      </c>
      <c r="E4" s="61">
        <f>'P&amp;L ASSUMPTION '!E7</f>
        <v>30715.33</v>
      </c>
      <c r="F4" s="61">
        <f>'P&amp;L ASSUMPTION '!F7</f>
        <v>30983.66</v>
      </c>
      <c r="G4" s="61">
        <f>'P&amp;L ASSUMPTION '!G7</f>
        <v>33100.94</v>
      </c>
      <c r="H4" s="61">
        <f>'P&amp;L ASSUMPTION '!H7</f>
        <v>33972.230000000003</v>
      </c>
      <c r="I4" s="61">
        <f>'P&amp;L ASSUMPTION '!I7</f>
        <v>36350.286100000005</v>
      </c>
      <c r="J4" s="61">
        <f>'P&amp;L ASSUMPTION '!J7</f>
        <v>38894.806127000011</v>
      </c>
      <c r="K4" s="61">
        <f>'P&amp;L ASSUMPTION '!K7</f>
        <v>41617.442555890011</v>
      </c>
      <c r="L4" s="61">
        <f>'P&amp;L ASSUMPTION '!L7</f>
        <v>44530.663534802312</v>
      </c>
      <c r="M4" s="61">
        <f>'P&amp;L ASSUMPTION '!M7</f>
        <v>47647.809982238476</v>
      </c>
      <c r="N4" s="13"/>
      <c r="O4" s="13"/>
    </row>
    <row r="5" spans="2:16" ht="18" x14ac:dyDescent="0.25">
      <c r="B5" s="15" t="s">
        <v>41</v>
      </c>
      <c r="C5" s="21">
        <f>'P&amp;L ASSUMPTION '!C15</f>
        <v>-18229.89</v>
      </c>
      <c r="D5" s="61">
        <f>'P&amp;L ASSUMPTION '!D15</f>
        <v>-19715.300000000003</v>
      </c>
      <c r="E5" s="61">
        <f>'P&amp;L ASSUMPTION '!E15</f>
        <v>-19308.099999999999</v>
      </c>
      <c r="F5" s="61">
        <f>'P&amp;L ASSUMPTION '!F15</f>
        <v>-19116.080000000002</v>
      </c>
      <c r="G5" s="61">
        <f>'P&amp;L ASSUMPTION '!G15</f>
        <v>-21885.82</v>
      </c>
      <c r="H5" s="61">
        <f>'P&amp;L ASSUMPTION '!H15</f>
        <v>-23444.42</v>
      </c>
      <c r="I5" s="61">
        <f>'P&amp;L ASSUMPTION '!I15</f>
        <v>-22537.177382000002</v>
      </c>
      <c r="J5" s="61">
        <f>'P&amp;L ASSUMPTION '!J15</f>
        <v>-24114.779798740008</v>
      </c>
      <c r="K5" s="61">
        <f>'P&amp;L ASSUMPTION '!K15</f>
        <v>-25802.814384651807</v>
      </c>
      <c r="L5" s="61">
        <f>'P&amp;L ASSUMPTION '!L15</f>
        <v>-27609.011391577435</v>
      </c>
      <c r="M5" s="61">
        <f>'P&amp;L ASSUMPTION '!M15</f>
        <v>-29541.642188987855</v>
      </c>
      <c r="N5" s="13"/>
      <c r="O5" s="13"/>
    </row>
    <row r="6" spans="2:16" ht="18" x14ac:dyDescent="0.25">
      <c r="B6" s="18" t="s">
        <v>42</v>
      </c>
      <c r="C6" s="22">
        <f>C4+C5</f>
        <v>8775.369999999999</v>
      </c>
      <c r="D6" s="22">
        <f t="shared" ref="D6:M6" si="0">D4+D5</f>
        <v>9305.6799999999967</v>
      </c>
      <c r="E6" s="22">
        <f t="shared" si="0"/>
        <v>11407.230000000003</v>
      </c>
      <c r="F6" s="22">
        <f t="shared" si="0"/>
        <v>11867.579999999998</v>
      </c>
      <c r="G6" s="22">
        <f t="shared" si="0"/>
        <v>11215.120000000003</v>
      </c>
      <c r="H6" s="22">
        <f t="shared" si="0"/>
        <v>10527.810000000005</v>
      </c>
      <c r="I6" s="22">
        <f t="shared" si="0"/>
        <v>13813.108718000003</v>
      </c>
      <c r="J6" s="22">
        <f t="shared" si="0"/>
        <v>14780.026328260003</v>
      </c>
      <c r="K6" s="22">
        <f t="shared" si="0"/>
        <v>15814.628171238204</v>
      </c>
      <c r="L6" s="22">
        <f t="shared" si="0"/>
        <v>16921.652143224877</v>
      </c>
      <c r="M6" s="22">
        <f t="shared" si="0"/>
        <v>18106.167793250621</v>
      </c>
      <c r="N6" s="13"/>
      <c r="O6" s="13"/>
    </row>
    <row r="7" spans="2:16" ht="18" x14ac:dyDescent="0.25">
      <c r="B7" s="23" t="s">
        <v>43</v>
      </c>
      <c r="C7" s="24">
        <f>'P&amp;L ASSUMPTION '!C23</f>
        <v>-1880.35</v>
      </c>
      <c r="D7" s="24">
        <f>'P&amp;L ASSUMPTION '!D23</f>
        <v>-1717.65</v>
      </c>
      <c r="E7" s="24">
        <f>'P&amp;L ASSUMPTION '!E23</f>
        <v>-2258.21</v>
      </c>
      <c r="F7" s="24">
        <f>'P&amp;L ASSUMPTION '!F23</f>
        <v>-2373.23</v>
      </c>
      <c r="G7" s="24">
        <f>'P&amp;L ASSUMPTION '!G23</f>
        <v>-642.57000000000005</v>
      </c>
      <c r="H7" s="24">
        <f>'P&amp;L ASSUMPTION '!H23</f>
        <v>-1.41</v>
      </c>
      <c r="I7" s="24">
        <f>'P&amp;L ASSUMPTION '!I23</f>
        <v>1.6545191043857688E-9</v>
      </c>
      <c r="J7" s="24">
        <f>'P&amp;L ASSUMPTION '!J23</f>
        <v>1.5462795368091295E-9</v>
      </c>
      <c r="K7" s="24">
        <f>'P&amp;L ASSUMPTION '!K23</f>
        <v>1.4451210624384389E-9</v>
      </c>
      <c r="L7" s="24">
        <f>'P&amp;L ASSUMPTION '!L23</f>
        <v>1.3505804321854568E-9</v>
      </c>
      <c r="M7" s="24">
        <f>'P&amp;L ASSUMPTION '!M23</f>
        <v>1.2622247029770624E-9</v>
      </c>
      <c r="N7" s="13"/>
      <c r="O7" s="13"/>
    </row>
    <row r="8" spans="2:16" ht="18" x14ac:dyDescent="0.25">
      <c r="B8" s="23" t="s">
        <v>44</v>
      </c>
      <c r="C8" s="24">
        <f>'P&amp;L ASSUMPTION '!C31</f>
        <v>-930.35</v>
      </c>
      <c r="D8" s="24">
        <f>'P&amp;L ASSUMPTION '!D31</f>
        <v>-1178.72</v>
      </c>
      <c r="E8" s="24">
        <f>'P&amp;L ASSUMPTION '!E31</f>
        <v>-1339.46</v>
      </c>
      <c r="F8" s="24">
        <f>'P&amp;L ASSUMPTION '!F31</f>
        <v>-1432.49</v>
      </c>
      <c r="G8" s="24">
        <f>'P&amp;L ASSUMPTION '!G31</f>
        <v>-1583.71</v>
      </c>
      <c r="H8" s="24">
        <f>'P&amp;L ASSUMPTION '!H31</f>
        <v>-1778.03</v>
      </c>
      <c r="I8" s="24">
        <f>'P&amp;L ASSUMPTION '!I31</f>
        <v>-1090.508583</v>
      </c>
      <c r="J8" s="24">
        <f>'P&amp;L ASSUMPTION '!J31</f>
        <v>-1166.8441838100002</v>
      </c>
      <c r="K8" s="24">
        <f>'P&amp;L ASSUMPTION '!K31</f>
        <v>-1248.5232766767003</v>
      </c>
      <c r="L8" s="24">
        <f>'P&amp;L ASSUMPTION '!L31</f>
        <v>-1335.9199060440694</v>
      </c>
      <c r="M8" s="24">
        <f>'P&amp;L ASSUMPTION '!M31</f>
        <v>-1429.4342994671542</v>
      </c>
      <c r="N8" s="13"/>
      <c r="O8" s="13"/>
    </row>
    <row r="9" spans="2:16" ht="18" x14ac:dyDescent="0.25">
      <c r="B9" s="15" t="s">
        <v>45</v>
      </c>
      <c r="C9" s="21">
        <f>'P&amp;L ASSUMPTION '!C38</f>
        <v>-2425.5700000000002</v>
      </c>
      <c r="D9" s="61">
        <f>'P&amp;L ASSUMPTION '!D38</f>
        <v>-2912.5800000000004</v>
      </c>
      <c r="E9" s="61">
        <f>'P&amp;L ASSUMPTION '!E38</f>
        <v>-3411.86</v>
      </c>
      <c r="F9" s="61">
        <f>'P&amp;L ASSUMPTION '!F38</f>
        <v>-3485.89</v>
      </c>
      <c r="G9" s="61">
        <f>'P&amp;L ASSUMPTION '!G38</f>
        <v>-3663.79</v>
      </c>
      <c r="H9" s="61">
        <f>'P&amp;L ASSUMPTION '!H38</f>
        <v>-3729.94</v>
      </c>
      <c r="I9" s="61">
        <f>'P&amp;L ASSUMPTION '!I38</f>
        <v>-3271.5257490000004</v>
      </c>
      <c r="J9" s="61">
        <f>'P&amp;L ASSUMPTION '!J38</f>
        <v>-3500.5325514300007</v>
      </c>
      <c r="K9" s="61">
        <f>'P&amp;L ASSUMPTION '!K38</f>
        <v>-3745.569830030101</v>
      </c>
      <c r="L9" s="61">
        <f>'P&amp;L ASSUMPTION '!L38</f>
        <v>-4007.759718132208</v>
      </c>
      <c r="M9" s="61">
        <f>'P&amp;L ASSUMPTION '!M38</f>
        <v>-4288.3028984014627</v>
      </c>
      <c r="N9" s="13"/>
      <c r="O9" s="13"/>
    </row>
    <row r="10" spans="2:16" ht="18" x14ac:dyDescent="0.25">
      <c r="B10" s="18" t="s">
        <v>46</v>
      </c>
      <c r="C10" s="124">
        <f>C6+SUM(C7:C9)</f>
        <v>3539.0999999999985</v>
      </c>
      <c r="D10" s="124">
        <f t="shared" ref="D10:M10" si="1">D6+SUM(D7:D9)</f>
        <v>3496.7299999999959</v>
      </c>
      <c r="E10" s="124">
        <f t="shared" si="1"/>
        <v>4397.7000000000025</v>
      </c>
      <c r="F10" s="124">
        <f t="shared" si="1"/>
        <v>4575.9699999999975</v>
      </c>
      <c r="G10" s="124">
        <f t="shared" si="1"/>
        <v>5325.0500000000029</v>
      </c>
      <c r="H10" s="124">
        <f t="shared" si="1"/>
        <v>5018.4300000000048</v>
      </c>
      <c r="I10" s="124">
        <f t="shared" si="1"/>
        <v>9451.0743860016573</v>
      </c>
      <c r="J10" s="124">
        <f t="shared" si="1"/>
        <v>10112.649593021548</v>
      </c>
      <c r="K10" s="124">
        <f t="shared" si="1"/>
        <v>10820.535064532847</v>
      </c>
      <c r="L10" s="124">
        <f t="shared" si="1"/>
        <v>11577.97251904995</v>
      </c>
      <c r="M10" s="124">
        <f t="shared" si="1"/>
        <v>12388.430595383266</v>
      </c>
      <c r="N10" s="13"/>
      <c r="O10" s="13"/>
    </row>
    <row r="11" spans="2:16" ht="18" x14ac:dyDescent="0.25">
      <c r="B11" s="15" t="s">
        <v>47</v>
      </c>
      <c r="C11" s="21">
        <f>'P&amp;L ASSUMPTION '!C45</f>
        <v>-1107.3699999999999</v>
      </c>
      <c r="D11" s="61">
        <f>'P&amp;L ASSUMPTION '!D45</f>
        <v>-540.45000000000005</v>
      </c>
      <c r="E11" s="61">
        <f>'P&amp;L ASSUMPTION '!E45</f>
        <v>-443.25</v>
      </c>
      <c r="F11" s="61">
        <f>'P&amp;L ASSUMPTION '!F45</f>
        <v>-502.25</v>
      </c>
      <c r="G11" s="61">
        <f>'P&amp;L ASSUMPTION '!G45</f>
        <v>-574.98</v>
      </c>
      <c r="H11" s="61">
        <f>'P&amp;L ASSUMPTION '!H45</f>
        <v>-624.44000000000005</v>
      </c>
      <c r="I11" s="61">
        <f>'P&amp;L ASSUMPTION '!I45</f>
        <v>-363.50286100000005</v>
      </c>
      <c r="J11" s="61">
        <f>'P&amp;L ASSUMPTION '!J45</f>
        <v>-388.9480612700001</v>
      </c>
      <c r="K11" s="61">
        <f>'P&amp;L ASSUMPTION '!K45</f>
        <v>-416.17442555890011</v>
      </c>
      <c r="L11" s="61">
        <f>'P&amp;L ASSUMPTION '!L45</f>
        <v>-445.30663534802312</v>
      </c>
      <c r="M11" s="61">
        <f>'P&amp;L ASSUMPTION '!M45</f>
        <v>-476.47809982238476</v>
      </c>
      <c r="N11" s="13"/>
      <c r="O11" s="13"/>
    </row>
    <row r="12" spans="2:16" ht="18" x14ac:dyDescent="0.25">
      <c r="B12" s="18" t="s">
        <v>48</v>
      </c>
      <c r="C12" s="22">
        <f>C10+C11</f>
        <v>2431.7299999999987</v>
      </c>
      <c r="D12" s="22">
        <f t="shared" ref="D12:M12" si="2">D10+D11</f>
        <v>2956.2799999999961</v>
      </c>
      <c r="E12" s="22">
        <f t="shared" si="2"/>
        <v>3954.4500000000025</v>
      </c>
      <c r="F12" s="22">
        <f t="shared" si="2"/>
        <v>4073.7199999999975</v>
      </c>
      <c r="G12" s="22">
        <f t="shared" si="2"/>
        <v>4750.0700000000033</v>
      </c>
      <c r="H12" s="22">
        <f t="shared" si="2"/>
        <v>4393.9900000000052</v>
      </c>
      <c r="I12" s="22">
        <f t="shared" si="2"/>
        <v>9087.5715250016565</v>
      </c>
      <c r="J12" s="22">
        <f t="shared" si="2"/>
        <v>9723.701531751547</v>
      </c>
      <c r="K12" s="22">
        <f t="shared" si="2"/>
        <v>10404.360638973947</v>
      </c>
      <c r="L12" s="22">
        <f t="shared" si="2"/>
        <v>11132.665883701928</v>
      </c>
      <c r="M12" s="22">
        <f t="shared" si="2"/>
        <v>11911.952495560881</v>
      </c>
      <c r="N12" s="13"/>
      <c r="O12" s="13"/>
    </row>
    <row r="13" spans="2:16" ht="18" x14ac:dyDescent="0.25">
      <c r="B13" s="15" t="s">
        <v>49</v>
      </c>
      <c r="C13" s="61">
        <f>-C12*C14</f>
        <v>-826.78819999999962</v>
      </c>
      <c r="D13" s="61">
        <f t="shared" ref="D13:M13" si="3">-D12*D14</f>
        <v>-1022.8728799999985</v>
      </c>
      <c r="E13" s="61">
        <f t="shared" si="3"/>
        <v>-1368.2397000000008</v>
      </c>
      <c r="F13" s="61">
        <f t="shared" si="3"/>
        <v>-1409.5071199999991</v>
      </c>
      <c r="G13" s="61">
        <f t="shared" si="3"/>
        <v>-1662.5245000000011</v>
      </c>
      <c r="H13" s="61">
        <f t="shared" si="3"/>
        <v>-1537.8965000000017</v>
      </c>
      <c r="I13" s="61">
        <f t="shared" si="3"/>
        <v>-2726.271457500497</v>
      </c>
      <c r="J13" s="61">
        <f t="shared" si="3"/>
        <v>-2917.1104595254642</v>
      </c>
      <c r="K13" s="61">
        <f t="shared" si="3"/>
        <v>-3121.3081916921842</v>
      </c>
      <c r="L13" s="61">
        <f t="shared" si="3"/>
        <v>-3339.7997651105784</v>
      </c>
      <c r="M13" s="61">
        <f t="shared" si="3"/>
        <v>-3573.5857486682644</v>
      </c>
      <c r="N13" s="13"/>
      <c r="O13" s="13"/>
    </row>
    <row r="14" spans="2:16" ht="18" x14ac:dyDescent="0.25">
      <c r="B14" s="15" t="s">
        <v>50</v>
      </c>
      <c r="C14" s="20">
        <f>'P&amp;L ASSUMPTION '!C52</f>
        <v>0.34</v>
      </c>
      <c r="D14" s="20">
        <f>'P&amp;L ASSUMPTION '!D52</f>
        <v>0.34599999999999997</v>
      </c>
      <c r="E14" s="20">
        <f>'P&amp;L ASSUMPTION '!E52</f>
        <v>0.34599999999999997</v>
      </c>
      <c r="F14" s="20">
        <f>'P&amp;L ASSUMPTION '!F52</f>
        <v>0.34599999999999997</v>
      </c>
      <c r="G14" s="20">
        <f>'P&amp;L ASSUMPTION '!G52</f>
        <v>0.35</v>
      </c>
      <c r="H14" s="20">
        <f>'P&amp;L ASSUMPTION '!H52</f>
        <v>0.35</v>
      </c>
      <c r="I14" s="20">
        <f>'P&amp;L ASSUMPTION '!I52</f>
        <v>0.3</v>
      </c>
      <c r="J14" s="20">
        <f>'P&amp;L ASSUMPTION '!J52</f>
        <v>0.3</v>
      </c>
      <c r="K14" s="20">
        <f>'P&amp;L ASSUMPTION '!K52</f>
        <v>0.3</v>
      </c>
      <c r="L14" s="20">
        <f>'P&amp;L ASSUMPTION '!L52</f>
        <v>0.3</v>
      </c>
      <c r="M14" s="20">
        <f>'P&amp;L ASSUMPTION '!M52</f>
        <v>0.3</v>
      </c>
      <c r="N14" s="13"/>
      <c r="O14" s="13"/>
    </row>
    <row r="15" spans="2:16" ht="18" x14ac:dyDescent="0.25">
      <c r="B15" s="19" t="s">
        <v>51</v>
      </c>
      <c r="C15" s="25">
        <f>C12+C13</f>
        <v>1604.9417999999991</v>
      </c>
      <c r="D15" s="25">
        <f t="shared" ref="D15:M15" si="4">D12+D13</f>
        <v>1933.4071199999976</v>
      </c>
      <c r="E15" s="25">
        <f t="shared" si="4"/>
        <v>2586.2103000000016</v>
      </c>
      <c r="F15" s="25">
        <f t="shared" si="4"/>
        <v>2664.2128799999982</v>
      </c>
      <c r="G15" s="25">
        <f t="shared" si="4"/>
        <v>3087.545500000002</v>
      </c>
      <c r="H15" s="25">
        <f t="shared" si="4"/>
        <v>2856.0935000000036</v>
      </c>
      <c r="I15" s="25">
        <f t="shared" si="4"/>
        <v>6361.300067501159</v>
      </c>
      <c r="J15" s="25">
        <f t="shared" si="4"/>
        <v>6806.5910722260833</v>
      </c>
      <c r="K15" s="25">
        <f t="shared" si="4"/>
        <v>7283.0524472817633</v>
      </c>
      <c r="L15" s="25">
        <f t="shared" si="4"/>
        <v>7792.8661185913497</v>
      </c>
      <c r="M15" s="25">
        <f t="shared" si="4"/>
        <v>8338.3667468926178</v>
      </c>
      <c r="N15" s="13"/>
      <c r="O15" s="13"/>
    </row>
    <row r="16" spans="2:16" ht="15.75" x14ac:dyDescent="0.25">
      <c r="N16" s="13"/>
      <c r="O16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4F6A9-C9CE-4BB0-A191-6059A82E616F}">
  <dimension ref="B1:Q13"/>
  <sheetViews>
    <sheetView showGridLines="0" workbookViewId="0">
      <selection activeCell="E19" sqref="E19"/>
    </sheetView>
  </sheetViews>
  <sheetFormatPr defaultRowHeight="15" x14ac:dyDescent="0.25"/>
  <cols>
    <col min="2" max="2" width="39" bestFit="1" customWidth="1"/>
    <col min="3" max="3" width="14.28515625" customWidth="1"/>
    <col min="4" max="4" width="15.5703125" customWidth="1"/>
    <col min="5" max="5" width="15.28515625" customWidth="1"/>
    <col min="6" max="6" width="12.140625" customWidth="1"/>
    <col min="7" max="7" width="14.5703125" customWidth="1"/>
    <col min="8" max="8" width="17" customWidth="1"/>
    <col min="9" max="9" width="15.140625" customWidth="1"/>
    <col min="10" max="10" width="15.7109375" customWidth="1"/>
    <col min="11" max="11" width="16.42578125" customWidth="1"/>
    <col min="12" max="12" width="14.28515625" customWidth="1"/>
    <col min="13" max="13" width="18.42578125" customWidth="1"/>
    <col min="14" max="14" width="3.28515625" customWidth="1"/>
  </cols>
  <sheetData>
    <row r="1" spans="2:17" ht="18" x14ac:dyDescent="0.25">
      <c r="B1" s="29" t="s">
        <v>52</v>
      </c>
      <c r="C1" s="29"/>
      <c r="D1" s="29"/>
      <c r="E1" s="29"/>
      <c r="F1" s="28"/>
      <c r="G1" s="28"/>
      <c r="H1" s="28"/>
      <c r="I1" s="28"/>
      <c r="J1" s="28"/>
      <c r="K1" s="28"/>
      <c r="L1" s="28"/>
      <c r="M1" s="28"/>
      <c r="N1" s="28"/>
      <c r="O1" s="28"/>
    </row>
    <row r="3" spans="2:17" ht="36.75" thickBot="1" x14ac:dyDescent="0.3">
      <c r="B3" s="31" t="s">
        <v>14</v>
      </c>
      <c r="C3" s="32" t="s">
        <v>15</v>
      </c>
      <c r="D3" s="32" t="s">
        <v>16</v>
      </c>
      <c r="E3" s="32" t="s">
        <v>17</v>
      </c>
      <c r="F3" s="32" t="s">
        <v>18</v>
      </c>
      <c r="G3" s="32" t="s">
        <v>19</v>
      </c>
      <c r="H3" s="32" t="s">
        <v>20</v>
      </c>
      <c r="I3" s="32" t="s">
        <v>21</v>
      </c>
      <c r="J3" s="32" t="s">
        <v>22</v>
      </c>
      <c r="K3" s="32" t="s">
        <v>23</v>
      </c>
      <c r="L3" s="32" t="s">
        <v>24</v>
      </c>
      <c r="M3" s="32" t="s">
        <v>25</v>
      </c>
      <c r="N3" s="28"/>
      <c r="O3" s="12" t="s">
        <v>39</v>
      </c>
      <c r="P3" s="6"/>
      <c r="Q3" s="6"/>
    </row>
    <row r="4" spans="2:17" ht="18" x14ac:dyDescent="0.25">
      <c r="B4" s="30" t="s">
        <v>53</v>
      </c>
      <c r="C4" s="35"/>
      <c r="D4" s="35">
        <f>C7</f>
        <v>3102.0299999999997</v>
      </c>
      <c r="E4" s="61">
        <f t="shared" ref="E4:M4" si="0">D7</f>
        <v>3671.48</v>
      </c>
      <c r="F4" s="61">
        <f t="shared" si="0"/>
        <v>4689.46</v>
      </c>
      <c r="G4" s="61">
        <f t="shared" si="0"/>
        <v>5179.8099999999995</v>
      </c>
      <c r="H4" s="61">
        <f t="shared" si="0"/>
        <v>5316.4400000000005</v>
      </c>
      <c r="I4" s="61">
        <f t="shared" si="0"/>
        <v>5525.18</v>
      </c>
      <c r="J4" s="61">
        <f t="shared" si="0"/>
        <v>5452.5429150000009</v>
      </c>
      <c r="K4" s="61">
        <f t="shared" si="0"/>
        <v>5834.2209190500016</v>
      </c>
      <c r="L4" s="61">
        <f t="shared" si="0"/>
        <v>6242.6163833835017</v>
      </c>
      <c r="M4" s="61">
        <f t="shared" si="0"/>
        <v>6679.5995302203464</v>
      </c>
      <c r="N4" s="28"/>
      <c r="O4" s="28"/>
    </row>
    <row r="5" spans="2:17" ht="18" x14ac:dyDescent="0.25">
      <c r="B5" s="30" t="s">
        <v>54</v>
      </c>
      <c r="C5" s="35">
        <f>'P&amp;L ASSUMPTION '!C45</f>
        <v>-1107.3699999999999</v>
      </c>
      <c r="D5" s="61">
        <f>'P&amp;L ASSUMPTION '!D45</f>
        <v>-540.45000000000005</v>
      </c>
      <c r="E5" s="61">
        <f>'P&amp;L ASSUMPTION '!E45</f>
        <v>-443.25</v>
      </c>
      <c r="F5" s="61">
        <f>'P&amp;L ASSUMPTION '!F45</f>
        <v>-502.25</v>
      </c>
      <c r="G5" s="61">
        <f>'P&amp;L ASSUMPTION '!G45</f>
        <v>-574.98</v>
      </c>
      <c r="H5" s="61">
        <f>'P&amp;L ASSUMPTION '!H45</f>
        <v>-624.44000000000005</v>
      </c>
      <c r="I5" s="61">
        <f>'P&amp;L ASSUMPTION '!I45</f>
        <v>-363.50286100000005</v>
      </c>
      <c r="J5" s="61">
        <f>'P&amp;L ASSUMPTION '!J45</f>
        <v>-388.9480612700001</v>
      </c>
      <c r="K5" s="61">
        <f>'P&amp;L ASSUMPTION '!K45</f>
        <v>-416.17442555890011</v>
      </c>
      <c r="L5" s="61">
        <f>'P&amp;L ASSUMPTION '!L45</f>
        <v>-445.30663534802312</v>
      </c>
      <c r="M5" s="61">
        <f>'P&amp;L ASSUMPTION '!M45</f>
        <v>-476.47809982238476</v>
      </c>
      <c r="N5" s="28"/>
      <c r="O5" s="28"/>
    </row>
    <row r="6" spans="2:17" ht="18" x14ac:dyDescent="0.25">
      <c r="B6" s="30" t="s">
        <v>55</v>
      </c>
      <c r="C6" s="35"/>
      <c r="D6" s="35">
        <f>D7-D5-D4</f>
        <v>1109.9000000000005</v>
      </c>
      <c r="E6" s="61">
        <f t="shared" ref="E6:M6" si="1">E7-E5-E4</f>
        <v>1461.23</v>
      </c>
      <c r="F6" s="61">
        <f t="shared" si="1"/>
        <v>992.59999999999945</v>
      </c>
      <c r="G6" s="61">
        <f t="shared" si="1"/>
        <v>711.61000000000058</v>
      </c>
      <c r="H6" s="61">
        <f t="shared" si="1"/>
        <v>833.18000000000029</v>
      </c>
      <c r="I6" s="61">
        <f t="shared" si="1"/>
        <v>290.86577600000055</v>
      </c>
      <c r="J6" s="61">
        <f t="shared" si="1"/>
        <v>770.62606532000063</v>
      </c>
      <c r="K6" s="61">
        <f t="shared" si="1"/>
        <v>824.56988989240017</v>
      </c>
      <c r="L6" s="61">
        <f t="shared" si="1"/>
        <v>882.28978218486827</v>
      </c>
      <c r="M6" s="61">
        <f t="shared" si="1"/>
        <v>944.05006693780979</v>
      </c>
      <c r="N6" s="28"/>
      <c r="O6" s="28"/>
    </row>
    <row r="7" spans="2:17" ht="18.75" thickBot="1" x14ac:dyDescent="0.3">
      <c r="B7" s="33" t="s">
        <v>56</v>
      </c>
      <c r="C7" s="38">
        <f>'BALANCE SHEET ASSUMPTION'!C16</f>
        <v>3102.0299999999997</v>
      </c>
      <c r="D7" s="38">
        <f>'BALANCE SHEET ASSUMPTION'!D16</f>
        <v>3671.48</v>
      </c>
      <c r="E7" s="38">
        <f>'BALANCE SHEET ASSUMPTION'!E16</f>
        <v>4689.46</v>
      </c>
      <c r="F7" s="38">
        <f>'BALANCE SHEET ASSUMPTION'!F16</f>
        <v>5179.8099999999995</v>
      </c>
      <c r="G7" s="38">
        <f>'BALANCE SHEET ASSUMPTION'!G16</f>
        <v>5316.4400000000005</v>
      </c>
      <c r="H7" s="38">
        <f>'BALANCE SHEET ASSUMPTION'!H16</f>
        <v>5525.18</v>
      </c>
      <c r="I7" s="38">
        <f>'BALANCE SHEET ASSUMPTION'!I16</f>
        <v>5452.5429150000009</v>
      </c>
      <c r="J7" s="38">
        <f>'BALANCE SHEET ASSUMPTION'!J16</f>
        <v>5834.2209190500016</v>
      </c>
      <c r="K7" s="38">
        <f>'BALANCE SHEET ASSUMPTION'!K16</f>
        <v>6242.6163833835017</v>
      </c>
      <c r="L7" s="38">
        <f>'BALANCE SHEET ASSUMPTION'!L16</f>
        <v>6679.5995302203464</v>
      </c>
      <c r="M7" s="38">
        <f>'BALANCE SHEET ASSUMPTION'!M16</f>
        <v>7147.1714973357712</v>
      </c>
      <c r="N7" s="28"/>
      <c r="O7" s="28"/>
    </row>
    <row r="8" spans="2:17" ht="18" x14ac:dyDescent="0.25">
      <c r="B8" s="28"/>
      <c r="C8" s="35"/>
      <c r="D8" s="35"/>
      <c r="E8" s="35"/>
      <c r="F8" s="35"/>
      <c r="G8" s="35"/>
      <c r="H8" s="35"/>
      <c r="I8" s="34"/>
      <c r="J8" s="34"/>
      <c r="K8" s="34"/>
      <c r="L8" s="34"/>
      <c r="M8" s="34"/>
      <c r="N8" s="28"/>
      <c r="O8" s="28"/>
    </row>
    <row r="9" spans="2:17" ht="18" x14ac:dyDescent="0.25">
      <c r="B9" s="30" t="s">
        <v>57</v>
      </c>
      <c r="C9" s="35">
        <f>'BALANCE SHEET ASSUMPTION'!C5</f>
        <v>920.58</v>
      </c>
      <c r="D9" s="61">
        <f>'BALANCE SHEET ASSUMPTION'!D5</f>
        <v>1371.82</v>
      </c>
      <c r="E9" s="61">
        <f>'BALANCE SHEET ASSUMPTION'!E5</f>
        <v>1282.08</v>
      </c>
      <c r="F9" s="61">
        <f>'BALANCE SHEET ASSUMPTION'!F5</f>
        <v>1551.75</v>
      </c>
      <c r="G9" s="61">
        <f>'BALANCE SHEET ASSUMPTION'!G5</f>
        <v>1426.97</v>
      </c>
      <c r="H9" s="61">
        <f>'BALANCE SHEET ASSUMPTION'!H5</f>
        <v>2745.11</v>
      </c>
      <c r="I9" s="61">
        <f>'BALANCE SHEET ASSUMPTION'!I5</f>
        <v>2937.2677000000003</v>
      </c>
      <c r="J9" s="61">
        <f>'BALANCE SHEET ASSUMPTION'!J5</f>
        <v>3142.8764390000001</v>
      </c>
      <c r="K9" s="61">
        <f>'BALANCE SHEET ASSUMPTION'!K5</f>
        <v>3362.8777897300001</v>
      </c>
      <c r="L9" s="61">
        <f>'BALANCE SHEET ASSUMPTION'!L5</f>
        <v>3598.2792350111008</v>
      </c>
      <c r="M9" s="61">
        <f>'BALANCE SHEET ASSUMPTION'!M5</f>
        <v>3850.1587814618774</v>
      </c>
      <c r="N9" s="28"/>
      <c r="O9" s="28"/>
    </row>
    <row r="10" spans="2:17" ht="18" x14ac:dyDescent="0.25">
      <c r="B10" s="30" t="s">
        <v>58</v>
      </c>
      <c r="C10" s="35">
        <f>'BALANCE SHEET ASSUMPTION'!C11</f>
        <v>669.55</v>
      </c>
      <c r="D10" s="61">
        <f>'BALANCE SHEET ASSUMPTION'!D11</f>
        <v>861.39</v>
      </c>
      <c r="E10" s="61">
        <f>'BALANCE SHEET ASSUMPTION'!E11</f>
        <v>761.99</v>
      </c>
      <c r="F10" s="61">
        <f>'BALANCE SHEET ASSUMPTION'!F11</f>
        <v>708.58</v>
      </c>
      <c r="G10" s="61">
        <f>'BALANCE SHEET ASSUMPTION'!G11</f>
        <v>962.68</v>
      </c>
      <c r="H10" s="61">
        <f>'BALANCE SHEET ASSUMPTION'!H11</f>
        <v>1249.53</v>
      </c>
      <c r="I10" s="61">
        <f>'BALANCE SHEET ASSUMPTION'!I11</f>
        <v>1201.1761969001777</v>
      </c>
      <c r="J10" s="61">
        <f>'BALANCE SHEET ASSUMPTION'!J11</f>
        <v>1285.2585306831904</v>
      </c>
      <c r="K10" s="61">
        <f>'BALANCE SHEET ASSUMPTION'!K11</f>
        <v>1375.2266278310137</v>
      </c>
      <c r="L10" s="61">
        <f>'BALANCE SHEET ASSUMPTION'!L11</f>
        <v>1471.4924917791845</v>
      </c>
      <c r="M10" s="61">
        <f>'BALANCE SHEET ASSUMPTION'!M11</f>
        <v>1574.4969662037277</v>
      </c>
      <c r="N10" s="28"/>
      <c r="O10" s="28"/>
    </row>
    <row r="11" spans="2:17" ht="18" x14ac:dyDescent="0.25">
      <c r="B11" s="30" t="s">
        <v>59</v>
      </c>
      <c r="C11" s="35">
        <f>'BALANCE SHEET ASSUMPTION'!C8</f>
        <v>2291.0100000000002</v>
      </c>
      <c r="D11" s="61">
        <f>'BALANCE SHEET ASSUMPTION'!D8</f>
        <v>2713.09</v>
      </c>
      <c r="E11" s="61">
        <f>'BALANCE SHEET ASSUMPTION'!E8</f>
        <v>2791.7</v>
      </c>
      <c r="F11" s="61">
        <f>'BALANCE SHEET ASSUMPTION'!F8</f>
        <v>3266.2</v>
      </c>
      <c r="G11" s="61">
        <f>'BALANCE SHEET ASSUMPTION'!G8</f>
        <v>3375.26</v>
      </c>
      <c r="H11" s="61">
        <f>'BALANCE SHEET ASSUMPTION'!H8</f>
        <v>3438.24</v>
      </c>
      <c r="I11" s="61">
        <f>'BALANCE SHEET ASSUMPTION'!I8</f>
        <v>3305.1883886181736</v>
      </c>
      <c r="J11" s="61">
        <f>'BALANCE SHEET ASSUMPTION'!J8</f>
        <v>3536.5515758214469</v>
      </c>
      <c r="K11" s="61">
        <f>'BALANCE SHEET ASSUMPTION'!K8</f>
        <v>3784.1101861289471</v>
      </c>
      <c r="L11" s="61">
        <f>'BALANCE SHEET ASSUMPTION'!L8</f>
        <v>4048.9978991579742</v>
      </c>
      <c r="M11" s="61">
        <f>'BALANCE SHEET ASSUMPTION'!M8</f>
        <v>4332.4277520990327</v>
      </c>
      <c r="N11" s="28"/>
      <c r="O11" s="28"/>
    </row>
    <row r="12" spans="2:17" ht="18" x14ac:dyDescent="0.25">
      <c r="B12" s="36" t="s">
        <v>60</v>
      </c>
      <c r="C12" s="39">
        <f>C9+C10-C11</f>
        <v>-700.88000000000011</v>
      </c>
      <c r="D12" s="39">
        <f t="shared" ref="D12:M12" si="2">D9+D10-D11</f>
        <v>-479.88000000000011</v>
      </c>
      <c r="E12" s="39">
        <f t="shared" si="2"/>
        <v>-747.62999999999988</v>
      </c>
      <c r="F12" s="39">
        <f t="shared" si="2"/>
        <v>-1005.8699999999999</v>
      </c>
      <c r="G12" s="39">
        <f t="shared" si="2"/>
        <v>-985.61000000000013</v>
      </c>
      <c r="H12" s="39">
        <f t="shared" si="2"/>
        <v>556.40000000000055</v>
      </c>
      <c r="I12" s="39">
        <f t="shared" si="2"/>
        <v>833.25550828200494</v>
      </c>
      <c r="J12" s="39">
        <f t="shared" si="2"/>
        <v>891.58339386174339</v>
      </c>
      <c r="K12" s="39">
        <f t="shared" si="2"/>
        <v>953.99423143206695</v>
      </c>
      <c r="L12" s="39">
        <f t="shared" si="2"/>
        <v>1020.7738276323112</v>
      </c>
      <c r="M12" s="39">
        <f t="shared" si="2"/>
        <v>1092.2279955665726</v>
      </c>
      <c r="N12" s="28"/>
      <c r="O12" s="28"/>
    </row>
    <row r="13" spans="2:17" ht="18.75" thickBot="1" x14ac:dyDescent="0.3">
      <c r="B13" s="31" t="s">
        <v>61</v>
      </c>
      <c r="C13" s="37"/>
      <c r="D13" s="37">
        <f>D12-C12</f>
        <v>221</v>
      </c>
      <c r="E13" s="37">
        <f t="shared" ref="E13:M13" si="3">E12-D12</f>
        <v>-267.74999999999977</v>
      </c>
      <c r="F13" s="37">
        <f t="shared" si="3"/>
        <v>-258.24</v>
      </c>
      <c r="G13" s="37">
        <f t="shared" si="3"/>
        <v>20.259999999999764</v>
      </c>
      <c r="H13" s="37">
        <f t="shared" si="3"/>
        <v>1542.0100000000007</v>
      </c>
      <c r="I13" s="37">
        <f t="shared" si="3"/>
        <v>276.85550828200439</v>
      </c>
      <c r="J13" s="37">
        <f t="shared" si="3"/>
        <v>58.327885579738449</v>
      </c>
      <c r="K13" s="37">
        <f t="shared" si="3"/>
        <v>62.410837570323565</v>
      </c>
      <c r="L13" s="37">
        <f t="shared" si="3"/>
        <v>66.779596200244214</v>
      </c>
      <c r="M13" s="37">
        <f t="shared" si="3"/>
        <v>71.454167934261477</v>
      </c>
      <c r="N13" s="28"/>
      <c r="O13" s="2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4FCB1-0ACE-4D95-8139-207F61110D81}">
  <dimension ref="B1:N33"/>
  <sheetViews>
    <sheetView showGridLines="0" topLeftCell="A7" workbookViewId="0">
      <selection activeCell="J17" sqref="J17"/>
    </sheetView>
  </sheetViews>
  <sheetFormatPr defaultRowHeight="15" x14ac:dyDescent="0.25"/>
  <cols>
    <col min="2" max="2" width="40.85546875" customWidth="1"/>
    <col min="3" max="3" width="17" customWidth="1"/>
    <col min="4" max="4" width="16" customWidth="1"/>
    <col min="5" max="5" width="19" customWidth="1"/>
    <col min="6" max="6" width="16.7109375" customWidth="1"/>
    <col min="7" max="7" width="16" customWidth="1"/>
    <col min="8" max="8" width="18.85546875" customWidth="1"/>
    <col min="9" max="9" width="15" customWidth="1"/>
    <col min="10" max="10" width="19.5703125" customWidth="1"/>
    <col min="11" max="11" width="17.28515625" customWidth="1"/>
    <col min="12" max="12" width="19" customWidth="1"/>
    <col min="13" max="13" width="11.5703125" bestFit="1" customWidth="1"/>
  </cols>
  <sheetData>
    <row r="1" spans="2:14" ht="18" x14ac:dyDescent="0.25">
      <c r="B1" s="56" t="s">
        <v>69</v>
      </c>
      <c r="C1" s="56"/>
      <c r="D1" s="56"/>
      <c r="E1" s="55"/>
      <c r="F1" s="55"/>
      <c r="G1" s="55"/>
      <c r="H1" s="55"/>
      <c r="I1" s="55"/>
      <c r="J1" s="55"/>
      <c r="K1" s="55"/>
      <c r="L1" s="55"/>
      <c r="M1" s="55"/>
      <c r="N1" s="55"/>
    </row>
    <row r="2" spans="2:14" ht="18" x14ac:dyDescent="0.25">
      <c r="B2" s="56"/>
      <c r="C2" s="56"/>
      <c r="D2" s="56"/>
      <c r="E2" s="55"/>
      <c r="F2" s="55"/>
      <c r="G2" s="55"/>
      <c r="H2" s="55"/>
      <c r="I2" s="55"/>
      <c r="J2" s="55"/>
      <c r="K2" s="55"/>
      <c r="L2" s="55"/>
      <c r="M2" s="55"/>
      <c r="N2" s="55"/>
    </row>
    <row r="3" spans="2:14" ht="18" x14ac:dyDescent="0.25">
      <c r="B3" s="57" t="s">
        <v>70</v>
      </c>
      <c r="C3" s="62">
        <f>'WACC '!C22</f>
        <v>8.8405353186913574E-2</v>
      </c>
      <c r="D3" s="56"/>
      <c r="E3" s="55"/>
      <c r="F3" s="55"/>
      <c r="G3" s="55"/>
      <c r="H3" s="55"/>
      <c r="I3" s="55"/>
      <c r="J3" s="55"/>
      <c r="K3" s="55"/>
      <c r="L3" s="55"/>
      <c r="M3" s="55"/>
      <c r="N3" s="55"/>
    </row>
    <row r="4" spans="2:14" ht="18" x14ac:dyDescent="0.25">
      <c r="B4" s="57" t="s">
        <v>71</v>
      </c>
      <c r="C4" s="62">
        <v>8.9999999999999993E-3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</row>
    <row r="6" spans="2:14" ht="54.75" thickBot="1" x14ac:dyDescent="0.3">
      <c r="B6" s="58" t="s">
        <v>14</v>
      </c>
      <c r="C6" s="166" t="s">
        <v>16</v>
      </c>
      <c r="D6" s="166" t="s">
        <v>17</v>
      </c>
      <c r="E6" s="166" t="s">
        <v>18</v>
      </c>
      <c r="F6" s="166" t="s">
        <v>19</v>
      </c>
      <c r="G6" s="166" t="s">
        <v>20</v>
      </c>
      <c r="H6" s="59" t="s">
        <v>21</v>
      </c>
      <c r="I6" s="59" t="s">
        <v>22</v>
      </c>
      <c r="J6" s="59" t="s">
        <v>23</v>
      </c>
      <c r="K6" s="59" t="s">
        <v>24</v>
      </c>
      <c r="L6" s="59" t="s">
        <v>25</v>
      </c>
      <c r="M6" s="55"/>
      <c r="N6" s="60" t="s">
        <v>39</v>
      </c>
    </row>
    <row r="7" spans="2:14" ht="18" x14ac:dyDescent="0.25">
      <c r="B7" s="57" t="s">
        <v>68</v>
      </c>
      <c r="C7" s="61">
        <f>'CASH FLOW  '!C9</f>
        <v>1142.9571199999973</v>
      </c>
      <c r="D7" s="167">
        <f>'CASH FLOW  '!D9</f>
        <v>1835.9803000000013</v>
      </c>
      <c r="E7" s="167">
        <f>'CASH FLOW  '!E9</f>
        <v>2432.1028799999985</v>
      </c>
      <c r="F7" s="167">
        <f>'CASH FLOW  '!F9</f>
        <v>2930.6555000000017</v>
      </c>
      <c r="G7" s="167">
        <f>'CASH FLOW  '!G9</f>
        <v>1105.3435000000027</v>
      </c>
      <c r="H7" s="167">
        <f>'CASH FLOW  '!H9</f>
        <v>6157.0816442191535</v>
      </c>
      <c r="I7" s="167">
        <f>'CASH FLOW  '!I9</f>
        <v>6366.5851825963437</v>
      </c>
      <c r="J7" s="167">
        <f>'CASH FLOW  '!J9</f>
        <v>6812.2461453779397</v>
      </c>
      <c r="K7" s="167">
        <f>'CASH FLOW  '!K9</f>
        <v>7289.1033755542594</v>
      </c>
      <c r="L7" s="167">
        <f>'CASH FLOW  '!L9</f>
        <v>7799.340611842932</v>
      </c>
      <c r="M7" s="55"/>
      <c r="N7" s="55"/>
    </row>
    <row r="8" spans="2:14" ht="18" x14ac:dyDescent="0.25">
      <c r="B8" s="57" t="s">
        <v>72</v>
      </c>
      <c r="C8" s="55"/>
      <c r="D8" s="55"/>
      <c r="E8" s="55"/>
      <c r="F8" s="55"/>
      <c r="G8" s="55"/>
      <c r="H8" s="178">
        <f>1/(1+$C$3)^1</f>
        <v>0.91877534144052342</v>
      </c>
      <c r="I8" s="178">
        <f>1/(1+$C$3)^2</f>
        <v>0.84414812803915051</v>
      </c>
      <c r="J8" s="178">
        <f>1/(1+$C$3)^3</f>
        <v>0.77558248456554912</v>
      </c>
      <c r="K8" s="178">
        <f>1/(1+$C$3)^4</f>
        <v>0.71258606207200192</v>
      </c>
      <c r="L8" s="178">
        <f>1/(1+$C$3)^5</f>
        <v>0.65470650248596163</v>
      </c>
      <c r="M8" s="55"/>
      <c r="N8" s="55"/>
    </row>
    <row r="9" spans="2:14" ht="18.75" thickBot="1" x14ac:dyDescent="0.3">
      <c r="B9" s="63" t="s">
        <v>73</v>
      </c>
      <c r="C9" s="63"/>
      <c r="D9" s="63"/>
      <c r="E9" s="63"/>
      <c r="F9" s="63"/>
      <c r="G9" s="63"/>
      <c r="H9" s="64">
        <f>H7*H8</f>
        <v>5656.974789944632</v>
      </c>
      <c r="I9" s="169">
        <f t="shared" ref="I9:L9" si="0">I7*I8</f>
        <v>5374.3409638904968</v>
      </c>
      <c r="J9" s="169">
        <f t="shared" si="0"/>
        <v>5283.4587909043075</v>
      </c>
      <c r="K9" s="169">
        <f t="shared" si="0"/>
        <v>5194.1134704219467</v>
      </c>
      <c r="L9" s="169">
        <f t="shared" si="0"/>
        <v>5106.2790136764061</v>
      </c>
      <c r="M9" s="55"/>
      <c r="N9" s="55"/>
    </row>
    <row r="11" spans="2:14" x14ac:dyDescent="0.25">
      <c r="B11" t="s">
        <v>173</v>
      </c>
      <c r="C11" s="179">
        <f>SUM(H9:L9)</f>
        <v>26615.16702883779</v>
      </c>
      <c r="D11" s="103">
        <f>C11/C14</f>
        <v>0.29087484341963027</v>
      </c>
    </row>
    <row r="12" spans="2:14" x14ac:dyDescent="0.25">
      <c r="B12" t="s">
        <v>174</v>
      </c>
      <c r="C12" s="180">
        <f>L7*(1+C4)/(C3-C4)</f>
        <v>99105.84565785242</v>
      </c>
      <c r="H12" s="199" t="s">
        <v>177</v>
      </c>
      <c r="I12" s="199"/>
      <c r="J12" s="199"/>
      <c r="K12" s="199"/>
      <c r="L12" s="199"/>
      <c r="M12" s="199"/>
      <c r="N12" s="199"/>
    </row>
    <row r="13" spans="2:14" x14ac:dyDescent="0.25">
      <c r="B13" t="s">
        <v>175</v>
      </c>
      <c r="C13" s="176">
        <f>C12*L8</f>
        <v>64885.241586566088</v>
      </c>
      <c r="D13" s="103">
        <f>C13/C14</f>
        <v>0.70912515658036968</v>
      </c>
    </row>
    <row r="14" spans="2:14" ht="16.5" thickBot="1" x14ac:dyDescent="0.3">
      <c r="B14" s="181" t="s">
        <v>176</v>
      </c>
      <c r="C14" s="182">
        <f>C11+C13</f>
        <v>91500.408615403881</v>
      </c>
      <c r="H14" s="179">
        <f>C14</f>
        <v>91500.408615403881</v>
      </c>
      <c r="I14" s="184">
        <v>0</v>
      </c>
      <c r="J14" s="184">
        <v>0.01</v>
      </c>
      <c r="K14" s="184">
        <v>0.02</v>
      </c>
      <c r="L14" s="184">
        <v>0.03</v>
      </c>
      <c r="M14" s="184">
        <v>0.04</v>
      </c>
    </row>
    <row r="15" spans="2:14" ht="15.75" thickTop="1" x14ac:dyDescent="0.25">
      <c r="B15" t="s">
        <v>178</v>
      </c>
      <c r="E15" s="183"/>
      <c r="H15" s="185">
        <v>6.8000000000000005E-2</v>
      </c>
      <c r="I15" s="176">
        <f t="dataTable" ref="I15:M19" dt2D="1" dtr="1" r1="C4" r2="C3"/>
        <v>110699.8944647423</v>
      </c>
      <c r="J15" s="176">
        <v>125899.62785039071</v>
      </c>
      <c r="K15" s="176">
        <v>147432.58348005929</v>
      </c>
      <c r="L15" s="176">
        <v>180298.67365165867</v>
      </c>
      <c r="M15" s="176">
        <v>236640.54251725762</v>
      </c>
    </row>
    <row r="16" spans="2:14" x14ac:dyDescent="0.25">
      <c r="B16" t="s">
        <v>179</v>
      </c>
      <c r="C16">
        <f>'BALANCE  SHEET'!H48+'BALANCE  SHEET'!H40</f>
        <v>308.52</v>
      </c>
      <c r="H16" s="185">
        <v>7.8E-2</v>
      </c>
      <c r="I16" s="176">
        <v>96069.408563415083</v>
      </c>
      <c r="J16" s="176">
        <v>106958.19119912945</v>
      </c>
      <c r="K16" s="176">
        <v>121601.72646784881</v>
      </c>
      <c r="L16" s="176">
        <v>142346.73476520122</v>
      </c>
      <c r="M16" s="176">
        <v>174010.16848221279</v>
      </c>
    </row>
    <row r="17" spans="2:13" x14ac:dyDescent="0.25">
      <c r="B17" t="s">
        <v>180</v>
      </c>
      <c r="H17" s="185">
        <v>8.7999999999999995E-2</v>
      </c>
      <c r="I17" s="176">
        <v>84778.522930896157</v>
      </c>
      <c r="J17" s="176">
        <v>92887.480555723218</v>
      </c>
      <c r="K17" s="176">
        <v>103381.42571726414</v>
      </c>
      <c r="L17" s="176">
        <v>117493.97265864671</v>
      </c>
      <c r="M17" s="176">
        <v>137486.74749227209</v>
      </c>
    </row>
    <row r="18" spans="2:13" x14ac:dyDescent="0.25">
      <c r="B18" t="str">
        <f>'BALANCE  SHEET'!B12</f>
        <v>Equity accounted investments in associates</v>
      </c>
      <c r="C18">
        <f>'BALANCE  SHEET'!H12</f>
        <v>1705.89</v>
      </c>
      <c r="H18" s="185">
        <v>9.8000000000000004E-2</v>
      </c>
      <c r="I18" s="176">
        <v>75804.289567346175</v>
      </c>
      <c r="J18" s="176">
        <v>82026.429571272514</v>
      </c>
      <c r="K18" s="176">
        <v>89843.99008902612</v>
      </c>
      <c r="L18" s="176">
        <v>99960.833112001346</v>
      </c>
      <c r="M18" s="176">
        <v>113566.24269462324</v>
      </c>
    </row>
    <row r="19" spans="2:13" x14ac:dyDescent="0.25">
      <c r="B19" t="str">
        <f>'BALANCE  SHEET'!B13</f>
        <v>Investments</v>
      </c>
      <c r="C19">
        <f>'BALANCE  SHEET'!H13</f>
        <v>1234.06</v>
      </c>
      <c r="H19" s="185">
        <v>0.108</v>
      </c>
      <c r="I19" s="176">
        <v>68502.662441676526</v>
      </c>
      <c r="J19" s="176">
        <v>73391.988658682967</v>
      </c>
      <c r="K19" s="176">
        <v>79392.525379554485</v>
      </c>
      <c r="L19" s="176">
        <v>86931.661259623841</v>
      </c>
      <c r="M19" s="176">
        <v>96688.190045595955</v>
      </c>
    </row>
    <row r="20" spans="2:13" x14ac:dyDescent="0.25">
      <c r="B20" t="str">
        <f>'BALANCE  SHEET'!B14</f>
        <v>Loans to employees</v>
      </c>
      <c r="C20">
        <f>'BALANCE  SHEET'!H14</f>
        <v>60.12</v>
      </c>
    </row>
    <row r="21" spans="2:13" x14ac:dyDescent="0.25">
      <c r="B21" t="str">
        <f>'BALANCE  SHEET'!B15</f>
        <v>Security deposits</v>
      </c>
      <c r="C21">
        <f>'BALANCE  SHEET'!H15</f>
        <v>33.82</v>
      </c>
    </row>
    <row r="22" spans="2:13" x14ac:dyDescent="0.25">
      <c r="B22" t="str">
        <f>'BALANCE  SHEET'!B16</f>
        <v>Deferred tax assets (net)</v>
      </c>
      <c r="C22">
        <f>'BALANCE  SHEET'!H16</f>
        <v>0</v>
      </c>
    </row>
    <row r="23" spans="2:13" x14ac:dyDescent="0.25">
      <c r="B23" t="str">
        <f>'BALANCE  SHEET'!B17</f>
        <v>Income tax assets (net)</v>
      </c>
      <c r="C23">
        <f>'BALANCE  SHEET'!H17</f>
        <v>855.62</v>
      </c>
    </row>
    <row r="24" spans="2:13" x14ac:dyDescent="0.25">
      <c r="B24" t="str">
        <f>'BALANCE  SHEET'!B18</f>
        <v>Other non-current assets</v>
      </c>
      <c r="C24">
        <f>'BALANCE  SHEET'!H18</f>
        <v>676.46</v>
      </c>
    </row>
    <row r="25" spans="2:13" ht="15.75" x14ac:dyDescent="0.25">
      <c r="B25" s="162" t="s">
        <v>100</v>
      </c>
      <c r="C25">
        <f>'BALANCE  SHEET'!H23</f>
        <v>3173.88</v>
      </c>
    </row>
    <row r="26" spans="2:13" ht="15.75" x14ac:dyDescent="0.25">
      <c r="B26" s="162" t="str">
        <f>'BALANCE  SHEET'!B25</f>
        <v>Cash and cash equivalents</v>
      </c>
      <c r="C26" s="163">
        <f>'BALANCE  SHEET'!H25</f>
        <v>208.12</v>
      </c>
    </row>
    <row r="27" spans="2:13" ht="15.75" x14ac:dyDescent="0.25">
      <c r="B27" s="162" t="str">
        <f>'BALANCE  SHEET'!B26</f>
        <v xml:space="preserve">Bank balances  </v>
      </c>
      <c r="C27" s="163">
        <f>'BALANCE  SHEET'!H26</f>
        <v>95.78</v>
      </c>
    </row>
    <row r="28" spans="2:13" ht="15.75" x14ac:dyDescent="0.25">
      <c r="B28" s="162" t="str">
        <f>'BALANCE  SHEET'!B27</f>
        <v>Loans to employees</v>
      </c>
      <c r="C28" s="163">
        <f>'BALANCE  SHEET'!H27</f>
        <v>23.22</v>
      </c>
      <c r="G28" s="183"/>
    </row>
    <row r="29" spans="2:13" ht="15.75" x14ac:dyDescent="0.25">
      <c r="B29" s="162" t="str">
        <f>'BALANCE  SHEET'!B28</f>
        <v>Security deposits</v>
      </c>
      <c r="C29" s="163">
        <f>'BALANCE  SHEET'!H28</f>
        <v>1.86</v>
      </c>
    </row>
    <row r="30" spans="2:13" ht="15.75" x14ac:dyDescent="0.25">
      <c r="B30" s="162" t="str">
        <f>'BALANCE  SHEET'!B29</f>
        <v>Others Financial Assets</v>
      </c>
      <c r="C30" s="163">
        <f>'BALANCE  SHEET'!H29</f>
        <v>654.19000000000005</v>
      </c>
    </row>
    <row r="31" spans="2:13" ht="15.75" x14ac:dyDescent="0.25">
      <c r="B31" s="164" t="s">
        <v>181</v>
      </c>
      <c r="C31" s="165">
        <f>C14-C16+SUM(C18:C30)</f>
        <v>99914.908615403881</v>
      </c>
    </row>
    <row r="32" spans="2:13" x14ac:dyDescent="0.25">
      <c r="B32" t="s">
        <v>182</v>
      </c>
      <c r="C32">
        <v>20</v>
      </c>
    </row>
    <row r="33" spans="2:3" x14ac:dyDescent="0.25">
      <c r="B33" t="s">
        <v>192</v>
      </c>
      <c r="C33" s="119">
        <f>C31/C32</f>
        <v>4995.7454307701937</v>
      </c>
    </row>
  </sheetData>
  <mergeCells count="1">
    <mergeCell ref="H12:N1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8988-98D8-4A2E-A7AD-9EC4AF0F12B0}">
  <dimension ref="B1:E15"/>
  <sheetViews>
    <sheetView showGridLines="0" workbookViewId="0">
      <selection activeCell="H14" sqref="H14"/>
    </sheetView>
  </sheetViews>
  <sheetFormatPr defaultRowHeight="15" x14ac:dyDescent="0.25"/>
  <cols>
    <col min="2" max="2" width="42.7109375" bestFit="1" customWidth="1"/>
    <col min="3" max="3" width="14" bestFit="1" customWidth="1"/>
    <col min="4" max="4" width="10" bestFit="1" customWidth="1"/>
  </cols>
  <sheetData>
    <row r="1" spans="2:5" ht="26.25" x14ac:dyDescent="0.4">
      <c r="B1" s="194" t="s">
        <v>183</v>
      </c>
      <c r="C1" s="186"/>
      <c r="D1" s="186"/>
      <c r="E1" s="186"/>
    </row>
    <row r="2" spans="2:5" ht="18" x14ac:dyDescent="0.25">
      <c r="B2" s="186"/>
      <c r="C2" s="186"/>
      <c r="D2" s="186"/>
      <c r="E2" s="186"/>
    </row>
    <row r="3" spans="2:5" ht="18.75" thickBot="1" x14ac:dyDescent="0.3">
      <c r="B3" s="187" t="s">
        <v>184</v>
      </c>
      <c r="C3" s="188" t="s">
        <v>185</v>
      </c>
      <c r="D3" s="188" t="s">
        <v>186</v>
      </c>
      <c r="E3" s="188" t="s">
        <v>187</v>
      </c>
    </row>
    <row r="4" spans="2:5" ht="18" x14ac:dyDescent="0.25">
      <c r="B4" s="186" t="s">
        <v>188</v>
      </c>
      <c r="C4" s="189">
        <v>2591</v>
      </c>
      <c r="D4" s="189">
        <v>172.42</v>
      </c>
      <c r="E4" s="190">
        <f>C4/D4</f>
        <v>15.027259018675329</v>
      </c>
    </row>
    <row r="5" spans="2:5" ht="18" x14ac:dyDescent="0.25">
      <c r="B5" s="186" t="s">
        <v>189</v>
      </c>
      <c r="C5" s="190">
        <v>15548</v>
      </c>
      <c r="D5" s="190">
        <v>807.45</v>
      </c>
      <c r="E5" s="190">
        <f t="shared" ref="E5:E7" si="0">C5/D5</f>
        <v>19.255681466344665</v>
      </c>
    </row>
    <row r="6" spans="2:5" ht="18" x14ac:dyDescent="0.25">
      <c r="B6" s="186" t="s">
        <v>190</v>
      </c>
      <c r="C6" s="190">
        <v>366.6</v>
      </c>
      <c r="D6" s="190">
        <v>14.83</v>
      </c>
      <c r="E6" s="190">
        <f t="shared" si="0"/>
        <v>24.720161834120027</v>
      </c>
    </row>
    <row r="7" spans="2:5" ht="18" x14ac:dyDescent="0.25">
      <c r="B7" s="186" t="s">
        <v>191</v>
      </c>
      <c r="C7" s="190">
        <v>2737</v>
      </c>
      <c r="D7" s="190">
        <v>170.29</v>
      </c>
      <c r="E7" s="190">
        <f t="shared" si="0"/>
        <v>16.072582065887605</v>
      </c>
    </row>
    <row r="8" spans="2:5" ht="18" x14ac:dyDescent="0.25">
      <c r="B8" s="186"/>
      <c r="C8" s="186"/>
      <c r="D8" s="186"/>
      <c r="E8" s="186"/>
    </row>
    <row r="9" spans="2:5" ht="18.75" thickBot="1" x14ac:dyDescent="0.3">
      <c r="B9" s="187" t="s">
        <v>188</v>
      </c>
      <c r="C9" s="188" t="s">
        <v>185</v>
      </c>
      <c r="D9" s="188" t="s">
        <v>186</v>
      </c>
      <c r="E9" s="188" t="s">
        <v>187</v>
      </c>
    </row>
    <row r="10" spans="2:5" ht="18" x14ac:dyDescent="0.25">
      <c r="B10" s="191">
        <v>41729</v>
      </c>
      <c r="C10" s="190">
        <v>2041.09</v>
      </c>
      <c r="D10" s="192">
        <v>94.23</v>
      </c>
      <c r="E10" s="193">
        <f>C10/D10</f>
        <v>21.660723761010292</v>
      </c>
    </row>
    <row r="11" spans="2:5" ht="18" x14ac:dyDescent="0.25">
      <c r="B11" s="191">
        <v>42094</v>
      </c>
      <c r="C11" s="190">
        <v>2021.47</v>
      </c>
      <c r="D11" s="192">
        <v>107.21</v>
      </c>
      <c r="E11" s="193">
        <f t="shared" ref="E11:E15" si="1">C11/D11</f>
        <v>18.855237384572337</v>
      </c>
    </row>
    <row r="12" spans="2:5" ht="18" x14ac:dyDescent="0.25">
      <c r="B12" s="191">
        <v>42460</v>
      </c>
      <c r="C12" s="190">
        <v>2391.5</v>
      </c>
      <c r="D12" s="192">
        <v>143.09</v>
      </c>
      <c r="E12" s="193">
        <f t="shared" si="1"/>
        <v>16.71325739045356</v>
      </c>
    </row>
    <row r="13" spans="2:5" ht="18" x14ac:dyDescent="0.25">
      <c r="B13" s="191">
        <v>42825</v>
      </c>
      <c r="C13" s="190">
        <v>2818.3</v>
      </c>
      <c r="D13" s="192">
        <v>179.48</v>
      </c>
      <c r="E13" s="193">
        <f t="shared" si="1"/>
        <v>15.702585246266995</v>
      </c>
    </row>
    <row r="14" spans="2:5" ht="18" x14ac:dyDescent="0.25">
      <c r="B14" s="191">
        <v>43190</v>
      </c>
      <c r="C14" s="190">
        <v>3496.4</v>
      </c>
      <c r="D14" s="192">
        <v>186.3</v>
      </c>
      <c r="E14" s="193">
        <f t="shared" si="1"/>
        <v>18.767579173376273</v>
      </c>
    </row>
    <row r="15" spans="2:5" ht="18" x14ac:dyDescent="0.25">
      <c r="B15" s="191">
        <v>43555</v>
      </c>
      <c r="C15" s="190">
        <v>2553.15</v>
      </c>
      <c r="D15" s="192">
        <v>172.42</v>
      </c>
      <c r="E15" s="193">
        <f t="shared" si="1"/>
        <v>14.807736921470829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86BFF-4A2C-4E96-B4AD-8A153EEA45D4}">
  <dimension ref="B1:N9"/>
  <sheetViews>
    <sheetView showGridLines="0" workbookViewId="0">
      <selection activeCell="C9" sqref="C9"/>
    </sheetView>
  </sheetViews>
  <sheetFormatPr defaultRowHeight="15" x14ac:dyDescent="0.25"/>
  <cols>
    <col min="2" max="2" width="53.7109375" bestFit="1" customWidth="1"/>
    <col min="3" max="3" width="16" customWidth="1"/>
    <col min="4" max="4" width="12.42578125" customWidth="1"/>
    <col min="5" max="5" width="14.85546875" customWidth="1"/>
    <col min="6" max="6" width="12.85546875" customWidth="1"/>
    <col min="7" max="7" width="13.7109375" customWidth="1"/>
    <col min="8" max="8" width="14.7109375" customWidth="1"/>
    <col min="9" max="9" width="14.28515625" customWidth="1"/>
    <col min="10" max="10" width="14.7109375" customWidth="1"/>
    <col min="11" max="11" width="15.140625" customWidth="1"/>
    <col min="12" max="12" width="17.85546875" customWidth="1"/>
  </cols>
  <sheetData>
    <row r="1" spans="2:14" ht="18" x14ac:dyDescent="0.25">
      <c r="B1" s="45" t="s">
        <v>62</v>
      </c>
      <c r="C1" s="45"/>
      <c r="D1" s="45"/>
      <c r="E1" s="45"/>
      <c r="F1" s="40"/>
      <c r="G1" s="40"/>
      <c r="H1" s="40"/>
      <c r="I1" s="40"/>
      <c r="J1" s="40"/>
      <c r="K1" s="40"/>
      <c r="L1" s="40"/>
      <c r="M1" s="40"/>
      <c r="N1" s="40"/>
    </row>
    <row r="2" spans="2:14" ht="18" x14ac:dyDescent="0.25">
      <c r="B2" s="46" t="s">
        <v>63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3" spans="2:14" ht="54.75" thickBot="1" x14ac:dyDescent="0.3">
      <c r="B3" s="42" t="s">
        <v>14</v>
      </c>
      <c r="C3" s="43" t="s">
        <v>16</v>
      </c>
      <c r="D3" s="43" t="s">
        <v>17</v>
      </c>
      <c r="E3" s="43" t="s">
        <v>18</v>
      </c>
      <c r="F3" s="43" t="s">
        <v>19</v>
      </c>
      <c r="G3" s="43" t="s">
        <v>20</v>
      </c>
      <c r="H3" s="43" t="s">
        <v>21</v>
      </c>
      <c r="I3" s="43" t="s">
        <v>22</v>
      </c>
      <c r="J3" s="43" t="s">
        <v>23</v>
      </c>
      <c r="K3" s="43" t="s">
        <v>24</v>
      </c>
      <c r="L3" s="43" t="s">
        <v>25</v>
      </c>
      <c r="M3" s="41"/>
      <c r="N3" s="44" t="s">
        <v>39</v>
      </c>
    </row>
    <row r="4" spans="2:14" ht="18" x14ac:dyDescent="0.25">
      <c r="B4" s="46" t="s">
        <v>51</v>
      </c>
      <c r="C4" s="47">
        <f>'P&amp;L'!D15</f>
        <v>1933.4071199999976</v>
      </c>
      <c r="D4" s="61">
        <f>'P&amp;L'!E15</f>
        <v>2586.2103000000016</v>
      </c>
      <c r="E4" s="61">
        <f>'P&amp;L'!F15</f>
        <v>2664.2128799999982</v>
      </c>
      <c r="F4" s="61">
        <f>'P&amp;L'!G15</f>
        <v>3087.545500000002</v>
      </c>
      <c r="G4" s="61">
        <f>'P&amp;L'!H15</f>
        <v>2856.0935000000036</v>
      </c>
      <c r="H4" s="61">
        <f>'P&amp;L'!I15</f>
        <v>6361.300067501159</v>
      </c>
      <c r="I4" s="61">
        <f>'P&amp;L'!J15</f>
        <v>6806.5910722260833</v>
      </c>
      <c r="J4" s="61">
        <f>'P&amp;L'!K15</f>
        <v>7283.0524472817633</v>
      </c>
      <c r="K4" s="61">
        <f>'P&amp;L'!L15</f>
        <v>7792.8661185913497</v>
      </c>
      <c r="L4" s="61">
        <f>'P&amp;L'!M15</f>
        <v>8338.3667468926178</v>
      </c>
      <c r="M4" s="40"/>
      <c r="N4" s="40"/>
    </row>
    <row r="5" spans="2:14" ht="18.75" thickBot="1" x14ac:dyDescent="0.3">
      <c r="B5" s="49" t="s">
        <v>64</v>
      </c>
      <c r="C5" s="50">
        <f>-'BALANCE SHEET'!D5</f>
        <v>540.45000000000005</v>
      </c>
      <c r="D5" s="50">
        <f>-'BALANCE SHEET'!E5</f>
        <v>443.25</v>
      </c>
      <c r="E5" s="50">
        <f>-'BALANCE SHEET'!F5</f>
        <v>502.25</v>
      </c>
      <c r="F5" s="50">
        <f>-'BALANCE SHEET'!G5</f>
        <v>574.98</v>
      </c>
      <c r="G5" s="50">
        <f>-'BALANCE SHEET'!H5</f>
        <v>624.44000000000005</v>
      </c>
      <c r="H5" s="50">
        <f>-'BALANCE SHEET'!I5</f>
        <v>363.50286100000005</v>
      </c>
      <c r="I5" s="50">
        <f>-'BALANCE SHEET'!J5</f>
        <v>388.9480612700001</v>
      </c>
      <c r="J5" s="50">
        <f>-'BALANCE SHEET'!K5</f>
        <v>416.17442555890011</v>
      </c>
      <c r="K5" s="50">
        <f>-'BALANCE SHEET'!L5</f>
        <v>445.30663534802312</v>
      </c>
      <c r="L5" s="50">
        <f>-'BALANCE SHEET'!M5</f>
        <v>476.47809982238476</v>
      </c>
      <c r="M5" s="40"/>
      <c r="N5" s="40"/>
    </row>
    <row r="6" spans="2:14" ht="18" x14ac:dyDescent="0.25">
      <c r="B6" s="51" t="s">
        <v>65</v>
      </c>
      <c r="C6" s="52">
        <f>SUM(C4:C5)</f>
        <v>2473.8571199999978</v>
      </c>
      <c r="D6" s="52">
        <f t="shared" ref="D6:L6" si="0">SUM(D4:D5)</f>
        <v>3029.4603000000016</v>
      </c>
      <c r="E6" s="52">
        <f t="shared" si="0"/>
        <v>3166.4628799999982</v>
      </c>
      <c r="F6" s="52">
        <f t="shared" si="0"/>
        <v>3662.525500000002</v>
      </c>
      <c r="G6" s="52">
        <f t="shared" si="0"/>
        <v>3480.5335000000036</v>
      </c>
      <c r="H6" s="52">
        <f t="shared" si="0"/>
        <v>6724.8029285011589</v>
      </c>
      <c r="I6" s="52">
        <f t="shared" si="0"/>
        <v>7195.5391334960832</v>
      </c>
      <c r="J6" s="52">
        <f t="shared" si="0"/>
        <v>7699.2268728406634</v>
      </c>
      <c r="K6" s="52">
        <f t="shared" si="0"/>
        <v>8238.1727539393723</v>
      </c>
      <c r="L6" s="52">
        <f t="shared" si="0"/>
        <v>8814.8448467150029</v>
      </c>
      <c r="M6" s="40"/>
      <c r="N6" s="40"/>
    </row>
    <row r="7" spans="2:14" ht="18" x14ac:dyDescent="0.25">
      <c r="B7" s="46" t="s">
        <v>66</v>
      </c>
      <c r="C7" s="47">
        <f>-'BALANCE SHEET'!D6</f>
        <v>-1109.9000000000005</v>
      </c>
      <c r="D7" s="61">
        <f>-'BALANCE SHEET'!E6</f>
        <v>-1461.23</v>
      </c>
      <c r="E7" s="61">
        <f>-'BALANCE SHEET'!F6</f>
        <v>-992.59999999999945</v>
      </c>
      <c r="F7" s="61">
        <f>-'BALANCE SHEET'!G6</f>
        <v>-711.61000000000058</v>
      </c>
      <c r="G7" s="61">
        <f>-'BALANCE SHEET'!H6</f>
        <v>-833.18000000000029</v>
      </c>
      <c r="H7" s="61">
        <f>-'BALANCE SHEET'!I6</f>
        <v>-290.86577600000055</v>
      </c>
      <c r="I7" s="61">
        <f>-'BALANCE SHEET'!J6</f>
        <v>-770.62606532000063</v>
      </c>
      <c r="J7" s="61">
        <f>-'BALANCE SHEET'!K6</f>
        <v>-824.56988989240017</v>
      </c>
      <c r="K7" s="61">
        <f>-'BALANCE SHEET'!L6</f>
        <v>-882.28978218486827</v>
      </c>
      <c r="L7" s="61">
        <f>-'BALANCE SHEET'!M6</f>
        <v>-944.05006693780979</v>
      </c>
      <c r="M7" s="40"/>
      <c r="N7" s="40"/>
    </row>
    <row r="8" spans="2:14" ht="18" x14ac:dyDescent="0.25">
      <c r="B8" s="48" t="s">
        <v>67</v>
      </c>
      <c r="C8" s="54">
        <f>-'BALANCE SHEET'!D13</f>
        <v>-221</v>
      </c>
      <c r="D8" s="54">
        <f>-'BALANCE SHEET'!E13</f>
        <v>267.74999999999977</v>
      </c>
      <c r="E8" s="54">
        <f>-'BALANCE SHEET'!F13</f>
        <v>258.24</v>
      </c>
      <c r="F8" s="54">
        <f>-'BALANCE SHEET'!G13</f>
        <v>-20.259999999999764</v>
      </c>
      <c r="G8" s="54">
        <f>-'BALANCE SHEET'!H13</f>
        <v>-1542.0100000000007</v>
      </c>
      <c r="H8" s="54">
        <f>-'BALANCE SHEET'!I13</f>
        <v>-276.85550828200439</v>
      </c>
      <c r="I8" s="54">
        <f>-'BALANCE SHEET'!J13</f>
        <v>-58.327885579738449</v>
      </c>
      <c r="J8" s="54">
        <f>-'BALANCE SHEET'!K13</f>
        <v>-62.410837570323565</v>
      </c>
      <c r="K8" s="54">
        <f>-'BALANCE SHEET'!L13</f>
        <v>-66.779596200244214</v>
      </c>
      <c r="L8" s="54">
        <f>-'BALANCE SHEET'!M13</f>
        <v>-71.454167934261477</v>
      </c>
      <c r="M8" s="40"/>
      <c r="N8" s="40"/>
    </row>
    <row r="9" spans="2:14" ht="18.75" thickBot="1" x14ac:dyDescent="0.3">
      <c r="B9" s="53" t="s">
        <v>68</v>
      </c>
      <c r="C9" s="125">
        <f>SUM(C6:C8)</f>
        <v>1142.9571199999973</v>
      </c>
      <c r="D9" s="125">
        <f t="shared" ref="D9:L9" si="1">SUM(D6:D8)</f>
        <v>1835.9803000000013</v>
      </c>
      <c r="E9" s="125">
        <f t="shared" si="1"/>
        <v>2432.1028799999985</v>
      </c>
      <c r="F9" s="125">
        <f t="shared" si="1"/>
        <v>2930.6555000000017</v>
      </c>
      <c r="G9" s="125">
        <f t="shared" si="1"/>
        <v>1105.3435000000027</v>
      </c>
      <c r="H9" s="125">
        <f t="shared" si="1"/>
        <v>6157.0816442191535</v>
      </c>
      <c r="I9" s="125">
        <f t="shared" si="1"/>
        <v>6366.5851825963437</v>
      </c>
      <c r="J9" s="125">
        <f t="shared" si="1"/>
        <v>6812.2461453779397</v>
      </c>
      <c r="K9" s="125">
        <f t="shared" si="1"/>
        <v>7289.1033755542594</v>
      </c>
      <c r="L9" s="125">
        <f t="shared" si="1"/>
        <v>7799.340611842932</v>
      </c>
      <c r="M9" s="40"/>
      <c r="N9" s="4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5CF9C-ED2D-4C38-A2D1-BE4590591666}">
  <dimension ref="B1:J75"/>
  <sheetViews>
    <sheetView showGridLines="0" topLeftCell="A4" workbookViewId="0">
      <selection activeCell="C30" sqref="C30"/>
    </sheetView>
  </sheetViews>
  <sheetFormatPr defaultRowHeight="15" x14ac:dyDescent="0.25"/>
  <cols>
    <col min="2" max="2" width="47.85546875" bestFit="1" customWidth="1"/>
    <col min="3" max="3" width="12" bestFit="1" customWidth="1"/>
    <col min="5" max="5" width="20.140625" customWidth="1"/>
    <col min="6" max="6" width="31.42578125" customWidth="1"/>
    <col min="7" max="7" width="26" customWidth="1"/>
    <col min="8" max="8" width="2.85546875" customWidth="1"/>
    <col min="9" max="9" width="37.5703125" customWidth="1"/>
    <col min="10" max="10" width="23.5703125" customWidth="1"/>
  </cols>
  <sheetData>
    <row r="1" spans="2:10" ht="19.5" thickBot="1" x14ac:dyDescent="0.35">
      <c r="F1" s="161"/>
    </row>
    <row r="2" spans="2:10" ht="84" customHeight="1" x14ac:dyDescent="0.25">
      <c r="B2" s="200" t="s">
        <v>150</v>
      </c>
      <c r="C2" s="201"/>
      <c r="E2" s="159"/>
      <c r="F2" s="156"/>
      <c r="G2" s="156"/>
      <c r="H2" s="156"/>
      <c r="I2" s="156"/>
      <c r="J2" s="156"/>
    </row>
    <row r="3" spans="2:10" ht="18" customHeight="1" x14ac:dyDescent="0.3">
      <c r="B3" s="128"/>
      <c r="C3" s="129"/>
      <c r="E3" s="127" t="s">
        <v>169</v>
      </c>
      <c r="F3" s="126" t="s">
        <v>170</v>
      </c>
      <c r="G3" s="126" t="s">
        <v>171</v>
      </c>
      <c r="H3" s="153"/>
      <c r="I3" s="170" t="s">
        <v>172</v>
      </c>
      <c r="J3" s="126" t="s">
        <v>171</v>
      </c>
    </row>
    <row r="4" spans="2:10" ht="19.5" thickBot="1" x14ac:dyDescent="0.35">
      <c r="B4" s="139" t="s">
        <v>151</v>
      </c>
      <c r="C4" s="144"/>
      <c r="E4" s="160">
        <v>41883</v>
      </c>
      <c r="F4" s="171">
        <v>2468.34</v>
      </c>
      <c r="G4" s="174">
        <v>6415.7001950000003</v>
      </c>
      <c r="H4" s="156"/>
      <c r="I4" s="168"/>
      <c r="J4" s="168"/>
    </row>
    <row r="5" spans="2:10" ht="18.75" x14ac:dyDescent="0.3">
      <c r="B5" s="145" t="s">
        <v>152</v>
      </c>
      <c r="C5" s="146">
        <f>C27/SUM(C27,C29)</f>
        <v>0.99407043748301493</v>
      </c>
      <c r="E5" s="160">
        <v>41913</v>
      </c>
      <c r="F5" s="171">
        <v>2659.02</v>
      </c>
      <c r="G5" s="174">
        <v>6685.75</v>
      </c>
      <c r="H5" s="156"/>
      <c r="I5" s="168">
        <f>F5/F4-1</f>
        <v>7.7250297770971477E-2</v>
      </c>
      <c r="J5" s="168">
        <f>G5/G4-1</f>
        <v>4.2092023752989594E-2</v>
      </c>
    </row>
    <row r="6" spans="2:10" ht="18.75" x14ac:dyDescent="0.3">
      <c r="B6" s="147" t="s">
        <v>153</v>
      </c>
      <c r="C6" s="148">
        <f>1-C5</f>
        <v>5.9295625169850652E-3</v>
      </c>
      <c r="E6" s="160">
        <v>41944</v>
      </c>
      <c r="F6" s="171">
        <v>2729.02</v>
      </c>
      <c r="G6" s="174">
        <v>6918.0498049999997</v>
      </c>
      <c r="H6" s="156"/>
      <c r="I6" s="168">
        <f t="shared" ref="I6:I63" si="0">F6/F5-1</f>
        <v>2.6325488337808567E-2</v>
      </c>
      <c r="J6" s="168">
        <f t="shared" ref="J6:J63" si="1">G6/G5-1</f>
        <v>3.47455117226938E-2</v>
      </c>
    </row>
    <row r="7" spans="2:10" ht="18.75" x14ac:dyDescent="0.3">
      <c r="B7" s="149"/>
      <c r="C7" s="150"/>
      <c r="E7" s="160">
        <v>41974</v>
      </c>
      <c r="F7" s="171">
        <v>2695.32</v>
      </c>
      <c r="G7" s="174">
        <v>6773.6499020000001</v>
      </c>
      <c r="H7" s="156"/>
      <c r="I7" s="168">
        <f t="shared" si="0"/>
        <v>-1.2348755230815356E-2</v>
      </c>
      <c r="J7" s="168">
        <f t="shared" si="1"/>
        <v>-2.0872920414021112E-2</v>
      </c>
    </row>
    <row r="8" spans="2:10" ht="19.5" thickBot="1" x14ac:dyDescent="0.35">
      <c r="B8" s="151" t="s">
        <v>154</v>
      </c>
      <c r="C8" s="152"/>
      <c r="E8" s="160">
        <v>42005</v>
      </c>
      <c r="F8" s="171">
        <v>2492.2199999999998</v>
      </c>
      <c r="G8" s="174">
        <v>7257.25</v>
      </c>
      <c r="H8" s="156"/>
      <c r="I8" s="168">
        <f t="shared" si="0"/>
        <v>-7.535283380081037E-2</v>
      </c>
      <c r="J8" s="168">
        <f t="shared" si="1"/>
        <v>7.1394315471960068E-2</v>
      </c>
    </row>
    <row r="9" spans="2:10" ht="18.75" x14ac:dyDescent="0.3">
      <c r="B9" s="130" t="s">
        <v>155</v>
      </c>
      <c r="C9" s="132">
        <v>6.5000000000000002E-2</v>
      </c>
      <c r="E9" s="160">
        <v>42036</v>
      </c>
      <c r="F9" s="171">
        <v>2319.21</v>
      </c>
      <c r="G9" s="174">
        <v>7210.2998049999997</v>
      </c>
      <c r="H9" s="156"/>
      <c r="I9" s="168">
        <f t="shared" si="0"/>
        <v>-6.9420035149384773E-2</v>
      </c>
      <c r="J9" s="168">
        <f t="shared" si="1"/>
        <v>-6.4694195459713555E-3</v>
      </c>
    </row>
    <row r="10" spans="2:10" ht="18.75" x14ac:dyDescent="0.3">
      <c r="B10" s="130" t="s">
        <v>156</v>
      </c>
      <c r="C10" s="135">
        <f>SLOPE(I5:I63,J5:J63)</f>
        <v>0.47197297827232187</v>
      </c>
      <c r="E10" s="160">
        <v>42064</v>
      </c>
      <c r="F10" s="171">
        <v>2295.11</v>
      </c>
      <c r="G10" s="174">
        <v>6978.1499020000001</v>
      </c>
      <c r="H10" s="156"/>
      <c r="I10" s="168">
        <f t="shared" si="0"/>
        <v>-1.0391469509013818E-2</v>
      </c>
      <c r="J10" s="168">
        <f t="shared" si="1"/>
        <v>-3.2196983381885813E-2</v>
      </c>
    </row>
    <row r="11" spans="2:10" ht="18.75" x14ac:dyDescent="0.3">
      <c r="B11" s="130" t="s">
        <v>157</v>
      </c>
      <c r="C11" s="132">
        <v>0.05</v>
      </c>
      <c r="E11" s="160">
        <v>42095</v>
      </c>
      <c r="F11" s="171">
        <v>2023.14</v>
      </c>
      <c r="G11" s="174">
        <v>6781.7001950000003</v>
      </c>
      <c r="H11" s="156"/>
      <c r="I11" s="168">
        <f t="shared" si="0"/>
        <v>-0.11849976689570441</v>
      </c>
      <c r="J11" s="168">
        <f t="shared" si="1"/>
        <v>-2.815211908011539E-2</v>
      </c>
    </row>
    <row r="12" spans="2:10" ht="18.75" x14ac:dyDescent="0.3">
      <c r="B12" s="136" t="s">
        <v>158</v>
      </c>
      <c r="C12" s="137">
        <f>C9+C10*C11</f>
        <v>8.8598648913616102E-2</v>
      </c>
      <c r="E12" s="160">
        <v>42125</v>
      </c>
      <c r="F12" s="171">
        <v>2341.4899999999998</v>
      </c>
      <c r="G12" s="174">
        <v>6959.8500979999999</v>
      </c>
      <c r="H12" s="156"/>
      <c r="I12" s="168">
        <f t="shared" si="0"/>
        <v>0.15735440948228985</v>
      </c>
      <c r="J12" s="168">
        <f t="shared" si="1"/>
        <v>2.626920947218303E-2</v>
      </c>
    </row>
    <row r="13" spans="2:10" ht="18.75" x14ac:dyDescent="0.3">
      <c r="B13" s="130"/>
      <c r="C13" s="138"/>
      <c r="E13" s="160">
        <v>42156</v>
      </c>
      <c r="F13" s="171">
        <v>2192.37</v>
      </c>
      <c r="G13" s="174">
        <v>6897.2001950000003</v>
      </c>
      <c r="H13" s="156"/>
      <c r="I13" s="168">
        <f t="shared" si="0"/>
        <v>-6.3685943565849001E-2</v>
      </c>
      <c r="J13" s="168">
        <f t="shared" si="1"/>
        <v>-9.0016167184409079E-3</v>
      </c>
    </row>
    <row r="14" spans="2:10" ht="18.75" x14ac:dyDescent="0.3">
      <c r="B14" s="130" t="s">
        <v>159</v>
      </c>
      <c r="C14" s="131">
        <v>0.08</v>
      </c>
      <c r="E14" s="160">
        <v>42186</v>
      </c>
      <c r="F14" s="171">
        <v>2348.91</v>
      </c>
      <c r="G14" s="174">
        <v>7106.2001950000003</v>
      </c>
      <c r="H14" s="156"/>
      <c r="I14" s="168">
        <f t="shared" si="0"/>
        <v>7.1402181201165815E-2</v>
      </c>
      <c r="J14" s="168">
        <f t="shared" si="1"/>
        <v>3.0302150741037037E-2</v>
      </c>
    </row>
    <row r="15" spans="2:10" ht="18.75" x14ac:dyDescent="0.3">
      <c r="B15" s="130" t="s">
        <v>160</v>
      </c>
      <c r="C15" s="131">
        <f>'P&amp;L ASSUMPTION '!I52</f>
        <v>0.3</v>
      </c>
      <c r="E15" s="160">
        <v>42217</v>
      </c>
      <c r="F15" s="171">
        <v>2090.92</v>
      </c>
      <c r="G15" s="174">
        <v>6669.3500979999999</v>
      </c>
      <c r="H15" s="156"/>
      <c r="I15" s="168">
        <f t="shared" si="0"/>
        <v>-0.10983392296852579</v>
      </c>
      <c r="J15" s="168">
        <f t="shared" si="1"/>
        <v>-6.1474499030772178E-2</v>
      </c>
    </row>
    <row r="16" spans="2:10" ht="18.75" x14ac:dyDescent="0.3">
      <c r="B16" s="136" t="s">
        <v>161</v>
      </c>
      <c r="C16" s="175">
        <f>C14*(1-C15)</f>
        <v>5.5999999999999994E-2</v>
      </c>
      <c r="E16" s="160">
        <v>42248</v>
      </c>
      <c r="F16" s="171">
        <v>2104.0500000000002</v>
      </c>
      <c r="G16" s="174">
        <v>6646.1000979999999</v>
      </c>
      <c r="H16" s="156"/>
      <c r="I16" s="168">
        <f t="shared" si="0"/>
        <v>6.2795324546134346E-3</v>
      </c>
      <c r="J16" s="168">
        <f t="shared" si="1"/>
        <v>-3.4860967947945021E-3</v>
      </c>
    </row>
    <row r="17" spans="2:10" ht="18.75" x14ac:dyDescent="0.3">
      <c r="B17" s="133"/>
      <c r="C17" s="134"/>
      <c r="E17" s="160">
        <v>42278</v>
      </c>
      <c r="F17" s="171">
        <v>2270.35</v>
      </c>
      <c r="G17" s="174">
        <v>6750.9501950000003</v>
      </c>
      <c r="H17" s="156"/>
      <c r="I17" s="168">
        <f t="shared" si="0"/>
        <v>7.9038045673819335E-2</v>
      </c>
      <c r="J17" s="168">
        <f t="shared" si="1"/>
        <v>1.5776183845252811E-2</v>
      </c>
    </row>
    <row r="18" spans="2:10" ht="18.75" x14ac:dyDescent="0.3">
      <c r="B18" s="133"/>
      <c r="C18" s="134"/>
      <c r="E18" s="160">
        <v>42309</v>
      </c>
      <c r="F18" s="171">
        <v>2373.6799999999998</v>
      </c>
      <c r="G18" s="174">
        <v>6661.7001950000003</v>
      </c>
      <c r="H18" s="156"/>
      <c r="I18" s="168">
        <f t="shared" si="0"/>
        <v>4.5512806395489713E-2</v>
      </c>
      <c r="J18" s="168">
        <f t="shared" si="1"/>
        <v>-1.3220361196872976E-2</v>
      </c>
    </row>
    <row r="19" spans="2:10" ht="18.75" x14ac:dyDescent="0.3">
      <c r="B19" s="139" t="s">
        <v>162</v>
      </c>
      <c r="C19" s="177">
        <f>IF(ISNUMBER($C$5*$C$12),$C$5*$C$12,"N/A")</f>
        <v>8.8073297685962407E-2</v>
      </c>
      <c r="E19" s="160">
        <v>42339</v>
      </c>
      <c r="F19" s="171">
        <v>2367.1799999999998</v>
      </c>
      <c r="G19" s="174">
        <v>6712.5</v>
      </c>
      <c r="H19" s="156"/>
      <c r="I19" s="168">
        <f t="shared" si="0"/>
        <v>-2.7383640591823744E-3</v>
      </c>
      <c r="J19" s="168">
        <f t="shared" si="1"/>
        <v>7.6256516374195726E-3</v>
      </c>
    </row>
    <row r="20" spans="2:10" ht="18.75" x14ac:dyDescent="0.3">
      <c r="B20" s="139" t="s">
        <v>163</v>
      </c>
      <c r="C20" s="177">
        <f>IF(ISNUMBER($C$6*$C$16),$C$6*$C$16,"N/A")</f>
        <v>3.3205550095116363E-4</v>
      </c>
      <c r="E20" s="160">
        <v>42370</v>
      </c>
      <c r="F20" s="171">
        <v>2250.85</v>
      </c>
      <c r="G20" s="174">
        <v>6753.65</v>
      </c>
      <c r="H20" s="156"/>
      <c r="I20" s="168">
        <f t="shared" si="0"/>
        <v>-4.9142861970783769E-2</v>
      </c>
      <c r="J20" s="168">
        <f t="shared" si="1"/>
        <v>6.1303538175045968E-3</v>
      </c>
    </row>
    <row r="21" spans="2:10" ht="18.75" x14ac:dyDescent="0.3">
      <c r="B21" s="130"/>
      <c r="C21" s="138"/>
      <c r="E21" s="160">
        <v>42401</v>
      </c>
      <c r="F21" s="171">
        <v>2195.39</v>
      </c>
      <c r="G21" s="174">
        <v>6341.6</v>
      </c>
      <c r="H21" s="156"/>
      <c r="I21" s="168">
        <f t="shared" si="0"/>
        <v>-2.4639580602883404E-2</v>
      </c>
      <c r="J21" s="168">
        <f t="shared" si="1"/>
        <v>-6.1011453066119659E-2</v>
      </c>
    </row>
    <row r="22" spans="2:10" ht="19.5" thickBot="1" x14ac:dyDescent="0.35">
      <c r="B22" s="140" t="s">
        <v>164</v>
      </c>
      <c r="C22" s="141">
        <f>SUM(C19:C20)</f>
        <v>8.8405353186913574E-2</v>
      </c>
      <c r="E22" s="160">
        <v>42430</v>
      </c>
      <c r="F22" s="171">
        <v>2585.13</v>
      </c>
      <c r="G22" s="174">
        <v>6020.05</v>
      </c>
      <c r="H22" s="156"/>
      <c r="I22" s="168">
        <f t="shared" si="0"/>
        <v>0.17752654425865111</v>
      </c>
      <c r="J22" s="168">
        <f t="shared" si="1"/>
        <v>-5.0704869433581434E-2</v>
      </c>
    </row>
    <row r="23" spans="2:10" ht="20.25" thickTop="1" thickBot="1" x14ac:dyDescent="0.35">
      <c r="B23" s="142"/>
      <c r="C23" s="143"/>
      <c r="E23" s="160">
        <v>42461</v>
      </c>
      <c r="F23" s="171">
        <v>2584.65</v>
      </c>
      <c r="G23" s="174">
        <v>6445.5</v>
      </c>
      <c r="H23" s="156"/>
      <c r="I23" s="168">
        <f t="shared" si="0"/>
        <v>-1.8567731603436055E-4</v>
      </c>
      <c r="J23" s="168">
        <f t="shared" si="1"/>
        <v>7.0672170496922648E-2</v>
      </c>
    </row>
    <row r="24" spans="2:10" ht="18.75" x14ac:dyDescent="0.3">
      <c r="E24" s="160">
        <v>42491</v>
      </c>
      <c r="F24" s="171">
        <v>2760.9</v>
      </c>
      <c r="G24" s="174">
        <v>6580.15</v>
      </c>
      <c r="H24" s="156"/>
      <c r="I24" s="168">
        <f t="shared" si="0"/>
        <v>6.8191051012709725E-2</v>
      </c>
      <c r="J24" s="168">
        <f t="shared" si="1"/>
        <v>2.0890543790241134E-2</v>
      </c>
    </row>
    <row r="25" spans="2:10" ht="18.75" x14ac:dyDescent="0.3">
      <c r="B25" s="155" t="s">
        <v>165</v>
      </c>
      <c r="C25">
        <v>19.97</v>
      </c>
      <c r="E25" s="160">
        <v>42522</v>
      </c>
      <c r="F25" s="171">
        <v>2833.68</v>
      </c>
      <c r="G25" s="174">
        <v>6815.45</v>
      </c>
      <c r="H25" s="156"/>
      <c r="I25" s="168">
        <f t="shared" si="0"/>
        <v>2.6360969249157762E-2</v>
      </c>
      <c r="J25" s="168">
        <f t="shared" si="1"/>
        <v>3.5759063243239186E-2</v>
      </c>
    </row>
    <row r="26" spans="2:10" ht="18.75" x14ac:dyDescent="0.3">
      <c r="B26" s="155" t="s">
        <v>166</v>
      </c>
      <c r="C26">
        <v>2590</v>
      </c>
      <c r="E26" s="160">
        <v>42552</v>
      </c>
      <c r="F26" s="171">
        <v>2856.49</v>
      </c>
      <c r="G26" s="174">
        <v>7027.85</v>
      </c>
      <c r="H26" s="156"/>
      <c r="I26" s="168">
        <f t="shared" si="0"/>
        <v>8.0496033426498137E-3</v>
      </c>
      <c r="J26" s="168">
        <f t="shared" si="1"/>
        <v>3.1164486570952832E-2</v>
      </c>
    </row>
    <row r="27" spans="2:10" ht="18.75" x14ac:dyDescent="0.3">
      <c r="B27" s="155" t="s">
        <v>167</v>
      </c>
      <c r="C27" s="176">
        <f>C25*C26</f>
        <v>51722.299999999996</v>
      </c>
      <c r="E27" s="160">
        <v>42583</v>
      </c>
      <c r="F27" s="171">
        <v>3160.32</v>
      </c>
      <c r="G27" s="174">
        <v>7335.05</v>
      </c>
      <c r="H27" s="156"/>
      <c r="I27" s="168">
        <f t="shared" si="0"/>
        <v>0.10636480435779583</v>
      </c>
      <c r="J27" s="168">
        <f t="shared" si="1"/>
        <v>4.3711803752214395E-2</v>
      </c>
    </row>
    <row r="28" spans="2:10" ht="18.75" x14ac:dyDescent="0.3">
      <c r="B28" s="154"/>
      <c r="E28" s="160">
        <v>42614</v>
      </c>
      <c r="F28" s="171">
        <v>3041.7</v>
      </c>
      <c r="G28" s="174">
        <v>7474.3</v>
      </c>
      <c r="H28" s="156"/>
      <c r="I28" s="168">
        <f t="shared" si="0"/>
        <v>-3.7534173754556588E-2</v>
      </c>
      <c r="J28" s="168">
        <f t="shared" si="1"/>
        <v>1.8984192336793937E-2</v>
      </c>
    </row>
    <row r="29" spans="2:10" ht="18.75" x14ac:dyDescent="0.3">
      <c r="B29" s="155" t="s">
        <v>168</v>
      </c>
      <c r="C29">
        <f>'BALANCE  SHEET'!H48+'BALANCE  SHEET'!H40</f>
        <v>308.52</v>
      </c>
      <c r="E29" s="160">
        <v>42644</v>
      </c>
      <c r="F29" s="171">
        <v>3010</v>
      </c>
      <c r="G29" s="174">
        <v>7532.25</v>
      </c>
      <c r="H29" s="156"/>
      <c r="I29" s="168">
        <f t="shared" si="0"/>
        <v>-1.0421803596672885E-2</v>
      </c>
      <c r="J29" s="168">
        <f t="shared" si="1"/>
        <v>7.7532344166009182E-3</v>
      </c>
    </row>
    <row r="30" spans="2:10" ht="18.75" x14ac:dyDescent="0.3">
      <c r="C30" s="176">
        <f>C27+C29</f>
        <v>52030.819999999992</v>
      </c>
      <c r="E30" s="160">
        <v>42675</v>
      </c>
      <c r="F30" s="171">
        <v>2848.52</v>
      </c>
      <c r="G30" s="174">
        <v>7502.2</v>
      </c>
      <c r="H30" s="156"/>
      <c r="I30" s="168">
        <f t="shared" si="0"/>
        <v>-5.3647840531561464E-2</v>
      </c>
      <c r="J30" s="168">
        <f t="shared" si="1"/>
        <v>-3.9895117660725399E-3</v>
      </c>
    </row>
    <row r="31" spans="2:10" ht="18.75" x14ac:dyDescent="0.3">
      <c r="E31" s="160">
        <v>42705</v>
      </c>
      <c r="F31" s="171">
        <v>2949.33</v>
      </c>
      <c r="G31" s="174">
        <v>7040.25</v>
      </c>
      <c r="H31" s="156"/>
      <c r="I31" s="168">
        <f t="shared" si="0"/>
        <v>3.5390307949391353E-2</v>
      </c>
      <c r="J31" s="168">
        <f t="shared" si="1"/>
        <v>-6.1575271253765496E-2</v>
      </c>
    </row>
    <row r="32" spans="2:10" ht="18.75" x14ac:dyDescent="0.3">
      <c r="E32" s="160">
        <v>42736</v>
      </c>
      <c r="F32" s="171">
        <v>2857.74</v>
      </c>
      <c r="G32" s="174">
        <v>7379.2998049999997</v>
      </c>
      <c r="H32" s="156"/>
      <c r="I32" s="168">
        <f t="shared" si="0"/>
        <v>-3.1054510685477821E-2</v>
      </c>
      <c r="J32" s="168">
        <f t="shared" si="1"/>
        <v>4.815877348105535E-2</v>
      </c>
    </row>
    <row r="33" spans="5:10" ht="18.75" x14ac:dyDescent="0.3">
      <c r="E33" s="160">
        <v>42767</v>
      </c>
      <c r="F33" s="171">
        <v>2817.96</v>
      </c>
      <c r="G33" s="174">
        <v>7709.1000979999999</v>
      </c>
      <c r="H33" s="156"/>
      <c r="I33" s="168">
        <f t="shared" si="0"/>
        <v>-1.3920090701043386E-2</v>
      </c>
      <c r="J33" s="168">
        <f t="shared" si="1"/>
        <v>4.4692626904321964E-2</v>
      </c>
    </row>
    <row r="34" spans="5:10" ht="18.75" x14ac:dyDescent="0.3">
      <c r="E34" s="160">
        <v>42795</v>
      </c>
      <c r="F34" s="171">
        <v>2897.83</v>
      </c>
      <c r="G34" s="174">
        <v>7995.0498049999997</v>
      </c>
      <c r="H34" s="156"/>
      <c r="I34" s="168">
        <f t="shared" si="0"/>
        <v>2.8343198625956356E-2</v>
      </c>
      <c r="J34" s="168">
        <f t="shared" si="1"/>
        <v>3.7092488534969936E-2</v>
      </c>
    </row>
    <row r="35" spans="5:10" ht="18.75" x14ac:dyDescent="0.3">
      <c r="E35" s="160">
        <v>42826</v>
      </c>
      <c r="F35" s="171">
        <v>3042.47</v>
      </c>
      <c r="G35" s="174">
        <v>8214.2998050000006</v>
      </c>
      <c r="H35" s="156"/>
      <c r="I35" s="168">
        <f t="shared" si="0"/>
        <v>4.9913210919895201E-2</v>
      </c>
      <c r="J35" s="168">
        <f t="shared" si="1"/>
        <v>2.7423218785064263E-2</v>
      </c>
    </row>
    <row r="36" spans="5:10" ht="18.75" x14ac:dyDescent="0.3">
      <c r="E36" s="160">
        <v>42856</v>
      </c>
      <c r="F36" s="171">
        <v>3419.62</v>
      </c>
      <c r="G36" s="174">
        <v>8350.9501949999994</v>
      </c>
      <c r="H36" s="156"/>
      <c r="I36" s="168">
        <f t="shared" si="0"/>
        <v>0.12396178105289457</v>
      </c>
      <c r="J36" s="168">
        <f t="shared" si="1"/>
        <v>1.6635671115488249E-2</v>
      </c>
    </row>
    <row r="37" spans="5:10" ht="18.75" x14ac:dyDescent="0.3">
      <c r="E37" s="160">
        <v>42887</v>
      </c>
      <c r="F37" s="171">
        <v>3377.5</v>
      </c>
      <c r="G37" s="174">
        <v>8331.5996090000008</v>
      </c>
      <c r="H37" s="156"/>
      <c r="I37" s="168">
        <f t="shared" si="0"/>
        <v>-1.2317158046800447E-2</v>
      </c>
      <c r="J37" s="168">
        <f t="shared" si="1"/>
        <v>-2.3171717646675027E-3</v>
      </c>
    </row>
    <row r="38" spans="5:10" ht="18.75" x14ac:dyDescent="0.3">
      <c r="E38" s="160">
        <v>42917</v>
      </c>
      <c r="F38" s="171">
        <v>3365.73</v>
      </c>
      <c r="G38" s="174">
        <v>8793.2998050000006</v>
      </c>
      <c r="H38" s="156"/>
      <c r="I38" s="168">
        <f t="shared" si="0"/>
        <v>-3.4848260547741816E-3</v>
      </c>
      <c r="J38" s="168">
        <f t="shared" si="1"/>
        <v>5.5415552555029057E-2</v>
      </c>
    </row>
    <row r="39" spans="5:10" ht="18.75" x14ac:dyDescent="0.3">
      <c r="E39" s="160">
        <v>42948</v>
      </c>
      <c r="F39" s="171">
        <v>3682.58</v>
      </c>
      <c r="G39" s="174">
        <v>8694.9501949999994</v>
      </c>
      <c r="H39" s="156"/>
      <c r="I39" s="168">
        <f t="shared" si="0"/>
        <v>9.4140052826578557E-2</v>
      </c>
      <c r="J39" s="168">
        <f t="shared" si="1"/>
        <v>-1.1184607846997152E-2</v>
      </c>
    </row>
    <row r="40" spans="5:10" ht="18.75" x14ac:dyDescent="0.3">
      <c r="E40" s="160">
        <v>42979</v>
      </c>
      <c r="F40" s="171">
        <v>3482.8</v>
      </c>
      <c r="G40" s="174">
        <v>8600</v>
      </c>
      <c r="H40" s="156"/>
      <c r="I40" s="168">
        <f t="shared" si="0"/>
        <v>-5.425000950420622E-2</v>
      </c>
      <c r="J40" s="168">
        <f t="shared" si="1"/>
        <v>-1.092015398254953E-2</v>
      </c>
    </row>
    <row r="41" spans="5:10" ht="18.75" x14ac:dyDescent="0.3">
      <c r="E41" s="160">
        <v>43009</v>
      </c>
      <c r="F41" s="171">
        <v>3550.55</v>
      </c>
      <c r="G41" s="174">
        <v>9153.5996090000008</v>
      </c>
      <c r="H41" s="156"/>
      <c r="I41" s="168">
        <f t="shared" si="0"/>
        <v>1.9452739175376044E-2</v>
      </c>
      <c r="J41" s="168">
        <f t="shared" si="1"/>
        <v>6.4372047558139522E-2</v>
      </c>
    </row>
    <row r="42" spans="5:10" ht="18.75" x14ac:dyDescent="0.3">
      <c r="E42" s="160">
        <v>43040</v>
      </c>
      <c r="F42" s="171">
        <v>3354.86</v>
      </c>
      <c r="G42" s="174">
        <v>9154.5</v>
      </c>
      <c r="H42" s="156"/>
      <c r="I42" s="168">
        <f t="shared" si="0"/>
        <v>-5.5115404655616707E-2</v>
      </c>
      <c r="J42" s="168">
        <f t="shared" si="1"/>
        <v>9.8364691319297037E-5</v>
      </c>
    </row>
    <row r="43" spans="5:10" ht="18.75" x14ac:dyDescent="0.3">
      <c r="E43" s="160">
        <v>43070</v>
      </c>
      <c r="F43" s="171">
        <v>3487.5</v>
      </c>
      <c r="G43" s="174">
        <v>9490.6503909999992</v>
      </c>
      <c r="H43" s="156"/>
      <c r="I43" s="168">
        <f t="shared" si="0"/>
        <v>3.9536672171118781E-2</v>
      </c>
      <c r="J43" s="168">
        <f t="shared" si="1"/>
        <v>3.6719688786935212E-2</v>
      </c>
    </row>
    <row r="44" spans="5:10" ht="18.75" x14ac:dyDescent="0.3">
      <c r="E44" s="160">
        <v>43101</v>
      </c>
      <c r="F44" s="171">
        <v>3400.27</v>
      </c>
      <c r="G44" s="174">
        <v>9697.9003909999992</v>
      </c>
      <c r="H44" s="156"/>
      <c r="I44" s="168">
        <f t="shared" si="0"/>
        <v>-2.5012186379928303E-2</v>
      </c>
      <c r="J44" s="168">
        <f t="shared" si="1"/>
        <v>2.1837281056789948E-2</v>
      </c>
    </row>
    <row r="45" spans="5:10" ht="18.75" x14ac:dyDescent="0.3">
      <c r="E45" s="160">
        <v>43132</v>
      </c>
      <c r="F45" s="171">
        <v>3316.41</v>
      </c>
      <c r="G45" s="174">
        <v>9261.9003909999992</v>
      </c>
      <c r="H45" s="156"/>
      <c r="I45" s="168">
        <f t="shared" si="0"/>
        <v>-2.4662747370061799E-2</v>
      </c>
      <c r="J45" s="168">
        <f t="shared" si="1"/>
        <v>-4.4958185011327201E-2</v>
      </c>
    </row>
    <row r="46" spans="5:10" ht="18.75" x14ac:dyDescent="0.3">
      <c r="E46" s="160">
        <v>43160</v>
      </c>
      <c r="F46" s="171">
        <v>3316.37</v>
      </c>
      <c r="G46" s="174">
        <v>8912.0996090000008</v>
      </c>
      <c r="H46" s="156"/>
      <c r="I46" s="168">
        <f t="shared" si="0"/>
        <v>-1.2061234889504391E-5</v>
      </c>
      <c r="J46" s="168">
        <f t="shared" si="1"/>
        <v>-3.7767711509822277E-2</v>
      </c>
    </row>
    <row r="47" spans="5:10" ht="18.75" x14ac:dyDescent="0.3">
      <c r="E47" s="160">
        <v>43191</v>
      </c>
      <c r="F47" s="171">
        <v>3492.41</v>
      </c>
      <c r="G47" s="174">
        <v>9496.5</v>
      </c>
      <c r="H47" s="156"/>
      <c r="I47" s="168">
        <f t="shared" si="0"/>
        <v>5.3082134984938412E-2</v>
      </c>
      <c r="J47" s="168">
        <f t="shared" si="1"/>
        <v>6.5573817241656007E-2</v>
      </c>
    </row>
    <row r="48" spans="5:10" ht="18.75" x14ac:dyDescent="0.3">
      <c r="E48" s="160">
        <v>43221</v>
      </c>
      <c r="F48" s="171">
        <v>3318.01</v>
      </c>
      <c r="G48" s="174">
        <v>9315.3496090000008</v>
      </c>
      <c r="H48" s="156"/>
      <c r="I48" s="168">
        <f t="shared" si="0"/>
        <v>-4.9936863083085758E-2</v>
      </c>
      <c r="J48" s="168">
        <f t="shared" si="1"/>
        <v>-1.9075490022639863E-2</v>
      </c>
    </row>
    <row r="49" spans="5:10" ht="18.75" x14ac:dyDescent="0.3">
      <c r="E49" s="160">
        <v>43252</v>
      </c>
      <c r="F49" s="171">
        <v>3247.67</v>
      </c>
      <c r="G49" s="174">
        <v>9162.4501949999994</v>
      </c>
      <c r="H49" s="156"/>
      <c r="I49" s="168">
        <f t="shared" si="0"/>
        <v>-2.1199453889530262E-2</v>
      </c>
      <c r="J49" s="168">
        <f t="shared" si="1"/>
        <v>-1.6413706454160182E-2</v>
      </c>
    </row>
    <row r="50" spans="5:10" ht="18.75" x14ac:dyDescent="0.3">
      <c r="E50" s="160">
        <v>43282</v>
      </c>
      <c r="F50" s="171">
        <v>3080.94</v>
      </c>
      <c r="G50" s="174">
        <v>9650.5996090000008</v>
      </c>
      <c r="H50" s="156"/>
      <c r="I50" s="168">
        <f t="shared" si="0"/>
        <v>-5.1338344105158473E-2</v>
      </c>
      <c r="J50" s="168">
        <f t="shared" si="1"/>
        <v>5.3277169710170602E-2</v>
      </c>
    </row>
    <row r="51" spans="5:10" ht="18.75" x14ac:dyDescent="0.3">
      <c r="E51" s="160">
        <v>43313</v>
      </c>
      <c r="F51" s="171">
        <v>3112.29</v>
      </c>
      <c r="G51" s="174">
        <v>9992</v>
      </c>
      <c r="H51" s="156"/>
      <c r="I51" s="168">
        <f t="shared" si="0"/>
        <v>1.0175465929229466E-2</v>
      </c>
      <c r="J51" s="168">
        <f t="shared" si="1"/>
        <v>3.5376080744414562E-2</v>
      </c>
    </row>
    <row r="52" spans="5:10" ht="18.75" x14ac:dyDescent="0.3">
      <c r="E52" s="160">
        <v>43344</v>
      </c>
      <c r="F52" s="171">
        <v>2805.23</v>
      </c>
      <c r="G52" s="174">
        <v>9116</v>
      </c>
      <c r="H52" s="156"/>
      <c r="I52" s="168">
        <f t="shared" si="0"/>
        <v>-9.8660471871194533E-2</v>
      </c>
      <c r="J52" s="168">
        <f t="shared" si="1"/>
        <v>-8.7670136108887076E-2</v>
      </c>
    </row>
    <row r="53" spans="5:10" ht="18.75" x14ac:dyDescent="0.3">
      <c r="E53" s="160">
        <v>43374</v>
      </c>
      <c r="F53" s="171">
        <v>2645.51</v>
      </c>
      <c r="G53" s="174">
        <v>8753.4501949999994</v>
      </c>
      <c r="H53" s="156"/>
      <c r="I53" s="168">
        <f t="shared" si="0"/>
        <v>-5.6936507879924214E-2</v>
      </c>
      <c r="J53" s="168">
        <f t="shared" si="1"/>
        <v>-3.9770711386573065E-2</v>
      </c>
    </row>
    <row r="54" spans="5:10" ht="18.75" x14ac:dyDescent="0.3">
      <c r="E54" s="160">
        <v>43405</v>
      </c>
      <c r="F54" s="171">
        <v>2925.83</v>
      </c>
      <c r="G54" s="174">
        <v>9109.1503909999992</v>
      </c>
      <c r="H54" s="156"/>
      <c r="I54" s="168">
        <f t="shared" si="0"/>
        <v>0.1059606654293499</v>
      </c>
      <c r="J54" s="168">
        <f t="shared" si="1"/>
        <v>4.0635428097046455E-2</v>
      </c>
    </row>
    <row r="55" spans="5:10" ht="18.75" x14ac:dyDescent="0.3">
      <c r="E55" s="160">
        <v>43435</v>
      </c>
      <c r="F55" s="171">
        <v>2971.27</v>
      </c>
      <c r="G55" s="174">
        <v>9170</v>
      </c>
      <c r="H55" s="156"/>
      <c r="I55" s="168">
        <f t="shared" si="0"/>
        <v>1.5530635751222821E-2</v>
      </c>
      <c r="J55" s="168">
        <f t="shared" si="1"/>
        <v>6.6800531759934056E-3</v>
      </c>
    </row>
    <row r="56" spans="5:10" ht="18.75" x14ac:dyDescent="0.3">
      <c r="E56" s="160">
        <v>43466</v>
      </c>
      <c r="F56" s="171">
        <v>2498.9899999999998</v>
      </c>
      <c r="G56" s="174">
        <v>9003.8496090000008</v>
      </c>
      <c r="H56" s="156"/>
      <c r="I56" s="168">
        <f t="shared" si="0"/>
        <v>-0.15894886698280541</v>
      </c>
      <c r="J56" s="168">
        <f t="shared" si="1"/>
        <v>-1.8118908505997733E-2</v>
      </c>
    </row>
    <row r="57" spans="5:10" ht="18.75" x14ac:dyDescent="0.3">
      <c r="E57" s="160">
        <v>43497</v>
      </c>
      <c r="F57" s="171">
        <v>2520.9</v>
      </c>
      <c r="G57" s="174">
        <v>8955.9501949999994</v>
      </c>
      <c r="H57" s="156"/>
      <c r="I57" s="168">
        <f t="shared" si="0"/>
        <v>8.767542087003255E-3</v>
      </c>
      <c r="J57" s="168">
        <f t="shared" si="1"/>
        <v>-5.3198816150952233E-3</v>
      </c>
    </row>
    <row r="58" spans="5:10" ht="18.75" x14ac:dyDescent="0.3">
      <c r="E58" s="160">
        <v>43525</v>
      </c>
      <c r="F58" s="171">
        <v>2491.38</v>
      </c>
      <c r="G58" s="174">
        <v>9663.7001949999994</v>
      </c>
      <c r="H58" s="156"/>
      <c r="I58" s="168">
        <f t="shared" si="0"/>
        <v>-1.171010353445201E-2</v>
      </c>
      <c r="J58" s="168">
        <f t="shared" si="1"/>
        <v>7.9025673947486608E-2</v>
      </c>
    </row>
    <row r="59" spans="5:10" ht="18.75" x14ac:dyDescent="0.3">
      <c r="E59" s="160">
        <v>43556</v>
      </c>
      <c r="F59" s="171">
        <v>2449.84</v>
      </c>
      <c r="G59" s="174">
        <v>9664.2998050000006</v>
      </c>
      <c r="H59" s="156"/>
      <c r="I59" s="168">
        <f t="shared" si="0"/>
        <v>-1.6673490194189511E-2</v>
      </c>
      <c r="J59" s="168">
        <f t="shared" si="1"/>
        <v>6.2047661651520869E-5</v>
      </c>
    </row>
    <row r="60" spans="5:10" ht="18.75" x14ac:dyDescent="0.3">
      <c r="E60" s="160">
        <v>43586</v>
      </c>
      <c r="F60" s="171">
        <v>2614.37</v>
      </c>
      <c r="G60" s="174">
        <v>9805.0498050000006</v>
      </c>
      <c r="H60" s="156"/>
      <c r="I60" s="168">
        <f t="shared" si="0"/>
        <v>6.7159487966560905E-2</v>
      </c>
      <c r="J60" s="168">
        <f t="shared" si="1"/>
        <v>1.4563910768494726E-2</v>
      </c>
    </row>
    <row r="61" spans="5:10" ht="18.75" x14ac:dyDescent="0.3">
      <c r="E61" s="160">
        <v>43617</v>
      </c>
      <c r="F61" s="171">
        <v>2519.41</v>
      </c>
      <c r="G61" s="174">
        <v>9657.9501949999994</v>
      </c>
      <c r="H61" s="156"/>
      <c r="I61" s="168">
        <f t="shared" si="0"/>
        <v>-3.6322326220083578E-2</v>
      </c>
      <c r="J61" s="168">
        <f t="shared" si="1"/>
        <v>-1.5002433738275256E-2</v>
      </c>
    </row>
    <row r="62" spans="5:10" ht="18.75" x14ac:dyDescent="0.3">
      <c r="E62" s="160">
        <v>43647</v>
      </c>
      <c r="F62" s="171">
        <v>2297.3000000000002</v>
      </c>
      <c r="G62" s="174">
        <v>9044.9501949999994</v>
      </c>
      <c r="H62" s="156"/>
      <c r="I62" s="168">
        <f t="shared" si="0"/>
        <v>-8.8159529413632476E-2</v>
      </c>
      <c r="J62" s="168">
        <f t="shared" si="1"/>
        <v>-6.3471025178547191E-2</v>
      </c>
    </row>
    <row r="63" spans="5:10" ht="18.75" x14ac:dyDescent="0.3">
      <c r="E63" s="160">
        <v>43678</v>
      </c>
      <c r="F63" s="171">
        <v>2640.25</v>
      </c>
      <c r="G63" s="174">
        <v>8790.5499999999993</v>
      </c>
      <c r="H63" s="156"/>
      <c r="I63" s="168">
        <f t="shared" si="0"/>
        <v>0.14928394201889161</v>
      </c>
      <c r="J63" s="168">
        <f t="shared" si="1"/>
        <v>-2.8126212916090076E-2</v>
      </c>
    </row>
    <row r="64" spans="5:10" ht="18.75" x14ac:dyDescent="0.3">
      <c r="E64" s="160">
        <v>43700</v>
      </c>
      <c r="F64" s="172"/>
      <c r="G64" s="157"/>
      <c r="H64" s="156"/>
      <c r="I64" s="158"/>
      <c r="J64" s="158"/>
    </row>
    <row r="65" spans="6:6" ht="15.75" x14ac:dyDescent="0.25">
      <c r="F65" s="173"/>
    </row>
    <row r="66" spans="6:6" ht="15.75" x14ac:dyDescent="0.25">
      <c r="F66" s="173"/>
    </row>
    <row r="67" spans="6:6" ht="15.75" x14ac:dyDescent="0.25">
      <c r="F67" s="173"/>
    </row>
    <row r="68" spans="6:6" ht="15.75" x14ac:dyDescent="0.25">
      <c r="F68" s="173"/>
    </row>
    <row r="69" spans="6:6" ht="15.75" x14ac:dyDescent="0.25">
      <c r="F69" s="173"/>
    </row>
    <row r="70" spans="6:6" ht="15.75" x14ac:dyDescent="0.25">
      <c r="F70" s="173"/>
    </row>
    <row r="71" spans="6:6" ht="15.75" x14ac:dyDescent="0.25">
      <c r="F71" s="173"/>
    </row>
    <row r="72" spans="6:6" ht="15.75" x14ac:dyDescent="0.25">
      <c r="F72" s="173"/>
    </row>
    <row r="73" spans="6:6" ht="15.75" x14ac:dyDescent="0.25">
      <c r="F73" s="173"/>
    </row>
    <row r="74" spans="6:6" ht="15.75" x14ac:dyDescent="0.25">
      <c r="F74" s="173"/>
    </row>
    <row r="75" spans="6:6" ht="15.75" x14ac:dyDescent="0.25">
      <c r="F75" s="173"/>
    </row>
  </sheetData>
  <mergeCells count="1">
    <mergeCell ref="B2:C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AA661-6EF1-4D6E-BA49-56E8C21AF53F}">
  <dimension ref="A8:F12"/>
  <sheetViews>
    <sheetView showGridLines="0" workbookViewId="0">
      <selection activeCell="J6" sqref="J6"/>
    </sheetView>
  </sheetViews>
  <sheetFormatPr defaultRowHeight="15" x14ac:dyDescent="0.25"/>
  <sheetData>
    <row r="8" spans="1:6" x14ac:dyDescent="0.25">
      <c r="A8" s="202" t="s">
        <v>2</v>
      </c>
      <c r="B8" s="203"/>
      <c r="C8" s="203"/>
      <c r="D8" s="203"/>
      <c r="E8" s="203"/>
      <c r="F8" s="203"/>
    </row>
    <row r="9" spans="1:6" x14ac:dyDescent="0.25">
      <c r="A9" s="203"/>
      <c r="B9" s="203"/>
      <c r="C9" s="203"/>
      <c r="D9" s="203"/>
      <c r="E9" s="203"/>
      <c r="F9" s="203"/>
    </row>
    <row r="10" spans="1:6" x14ac:dyDescent="0.25">
      <c r="A10" s="203"/>
      <c r="B10" s="203"/>
      <c r="C10" s="203"/>
      <c r="D10" s="203"/>
      <c r="E10" s="203"/>
      <c r="F10" s="203"/>
    </row>
    <row r="11" spans="1:6" x14ac:dyDescent="0.25">
      <c r="A11" s="203"/>
      <c r="B11" s="203"/>
      <c r="C11" s="203"/>
      <c r="D11" s="203"/>
      <c r="E11" s="203"/>
      <c r="F11" s="203"/>
    </row>
    <row r="12" spans="1:6" x14ac:dyDescent="0.25">
      <c r="A12" s="203"/>
      <c r="B12" s="203"/>
      <c r="C12" s="203"/>
      <c r="D12" s="203"/>
      <c r="E12" s="203"/>
      <c r="F12" s="203"/>
    </row>
  </sheetData>
  <mergeCells count="1">
    <mergeCell ref="A8:F1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B74CC-0D3E-4CA6-87D8-F5097C64E6BB}">
  <dimension ref="A1:I23"/>
  <sheetViews>
    <sheetView showGridLines="0" workbookViewId="0">
      <selection activeCell="N19" sqref="N19"/>
    </sheetView>
  </sheetViews>
  <sheetFormatPr defaultRowHeight="15" x14ac:dyDescent="0.25"/>
  <cols>
    <col min="1" max="1" width="5.7109375" customWidth="1"/>
    <col min="2" max="2" width="44" bestFit="1" customWidth="1"/>
    <col min="3" max="8" width="10.28515625" bestFit="1" customWidth="1"/>
    <col min="9" max="9" width="20.42578125" bestFit="1" customWidth="1"/>
  </cols>
  <sheetData>
    <row r="1" spans="1:9" ht="18.75" x14ac:dyDescent="0.4">
      <c r="A1" s="204" t="s">
        <v>142</v>
      </c>
      <c r="B1" s="204"/>
      <c r="C1" s="204"/>
      <c r="D1" s="204"/>
      <c r="E1" s="204"/>
      <c r="F1" s="204"/>
      <c r="G1" s="204"/>
      <c r="H1" s="204"/>
      <c r="I1" s="204"/>
    </row>
    <row r="2" spans="1:9" ht="23.25" x14ac:dyDescent="0.35">
      <c r="B2" s="66" t="s">
        <v>74</v>
      </c>
      <c r="C2" s="66"/>
      <c r="D2" s="66"/>
      <c r="E2" s="66"/>
      <c r="F2" s="65"/>
      <c r="G2" s="65"/>
      <c r="H2" s="65"/>
      <c r="I2" s="65"/>
    </row>
    <row r="3" spans="1:9" ht="15.75" x14ac:dyDescent="0.25">
      <c r="B3" s="67" t="s">
        <v>75</v>
      </c>
      <c r="C3" s="67"/>
      <c r="D3" s="67"/>
      <c r="E3" s="67"/>
      <c r="F3" s="65"/>
      <c r="G3" s="65"/>
      <c r="H3" s="65"/>
      <c r="I3" s="65"/>
    </row>
    <row r="5" spans="1:9" ht="15.75" x14ac:dyDescent="0.25">
      <c r="B5" s="68" t="s">
        <v>76</v>
      </c>
      <c r="C5" s="69">
        <v>41699</v>
      </c>
      <c r="D5" s="69">
        <v>42064</v>
      </c>
      <c r="E5" s="69">
        <v>42430</v>
      </c>
      <c r="F5" s="69">
        <v>42795</v>
      </c>
      <c r="G5" s="69">
        <v>43160</v>
      </c>
      <c r="H5" s="69">
        <v>43525</v>
      </c>
      <c r="I5" s="65"/>
    </row>
    <row r="6" spans="1:9" ht="15.75" x14ac:dyDescent="0.25">
      <c r="B6" s="70" t="s">
        <v>77</v>
      </c>
      <c r="C6" s="71">
        <v>27005.26</v>
      </c>
      <c r="D6" s="71">
        <v>29020.98</v>
      </c>
      <c r="E6" s="71">
        <v>30715.33</v>
      </c>
      <c r="F6" s="71">
        <v>30983.66</v>
      </c>
      <c r="G6" s="71">
        <v>33100.94</v>
      </c>
      <c r="H6" s="71">
        <v>33972.230000000003</v>
      </c>
      <c r="I6" s="72" t="s">
        <v>78</v>
      </c>
    </row>
    <row r="7" spans="1:9" ht="15.75" x14ac:dyDescent="0.25">
      <c r="B7" s="65" t="s">
        <v>79</v>
      </c>
      <c r="C7" s="73"/>
      <c r="D7" s="73"/>
      <c r="E7" s="73"/>
      <c r="F7" s="73"/>
      <c r="G7" s="73"/>
      <c r="H7" s="73"/>
      <c r="I7" s="65"/>
    </row>
    <row r="8" spans="1:9" ht="15.75" x14ac:dyDescent="0.25">
      <c r="B8" s="65" t="s">
        <v>80</v>
      </c>
      <c r="C8" s="73">
        <v>-18229.89</v>
      </c>
      <c r="D8" s="73">
        <v>-19715.300000000003</v>
      </c>
      <c r="E8" s="73">
        <v>-19308.099999999999</v>
      </c>
      <c r="F8" s="73">
        <v>-19116.080000000002</v>
      </c>
      <c r="G8" s="73">
        <v>-21885.82</v>
      </c>
      <c r="H8" s="73">
        <v>-23444.42</v>
      </c>
      <c r="I8" s="72" t="s">
        <v>78</v>
      </c>
    </row>
    <row r="9" spans="1:9" ht="15.75" x14ac:dyDescent="0.25">
      <c r="B9" s="65" t="s">
        <v>81</v>
      </c>
      <c r="C9" s="73">
        <v>-1880.35</v>
      </c>
      <c r="D9" s="73">
        <v>-1717.65</v>
      </c>
      <c r="E9" s="73">
        <v>-2258.21</v>
      </c>
      <c r="F9" s="73">
        <v>-2373.23</v>
      </c>
      <c r="G9" s="73">
        <v>-642.57000000000005</v>
      </c>
      <c r="H9" s="73">
        <v>-1.41</v>
      </c>
      <c r="I9" s="72" t="s">
        <v>78</v>
      </c>
    </row>
    <row r="10" spans="1:9" ht="15.75" x14ac:dyDescent="0.25">
      <c r="B10" s="65" t="s">
        <v>44</v>
      </c>
      <c r="C10" s="73">
        <v>-930.35</v>
      </c>
      <c r="D10" s="73">
        <v>-1178.72</v>
      </c>
      <c r="E10" s="73">
        <v>-1339.46</v>
      </c>
      <c r="F10" s="73">
        <v>-1432.49</v>
      </c>
      <c r="G10" s="73">
        <v>-1583.71</v>
      </c>
      <c r="H10" s="73">
        <v>-1778.03</v>
      </c>
      <c r="I10" s="72" t="s">
        <v>78</v>
      </c>
    </row>
    <row r="11" spans="1:9" ht="15.75" x14ac:dyDescent="0.25">
      <c r="B11" s="65" t="s">
        <v>45</v>
      </c>
      <c r="C11" s="73">
        <v>-2425.5700000000002</v>
      </c>
      <c r="D11" s="73">
        <v>-2912.5800000000004</v>
      </c>
      <c r="E11" s="73">
        <v>-3411.86</v>
      </c>
      <c r="F11" s="73">
        <v>-3485.89</v>
      </c>
      <c r="G11" s="73">
        <v>-3663.79</v>
      </c>
      <c r="H11" s="73">
        <v>-3729.94</v>
      </c>
      <c r="I11" s="72" t="s">
        <v>78</v>
      </c>
    </row>
    <row r="12" spans="1:9" ht="15.75" x14ac:dyDescent="0.25">
      <c r="B12" s="79" t="s">
        <v>82</v>
      </c>
      <c r="C12" s="82">
        <v>-23466.159999999996</v>
      </c>
      <c r="D12" s="82">
        <v>-25524.250000000007</v>
      </c>
      <c r="E12" s="82">
        <v>-26317.629999999997</v>
      </c>
      <c r="F12" s="82">
        <v>-26407.690000000002</v>
      </c>
      <c r="G12" s="82">
        <v>-27775.89</v>
      </c>
      <c r="H12" s="82">
        <v>-28953.799999999996</v>
      </c>
      <c r="I12" s="65"/>
    </row>
    <row r="13" spans="1:9" ht="15.75" x14ac:dyDescent="0.25">
      <c r="B13" s="68" t="s">
        <v>46</v>
      </c>
      <c r="C13" s="83">
        <v>3539.1000000000022</v>
      </c>
      <c r="D13" s="83">
        <v>3496.7299999999923</v>
      </c>
      <c r="E13" s="83">
        <v>4397.7000000000044</v>
      </c>
      <c r="F13" s="83">
        <v>4575.9699999999975</v>
      </c>
      <c r="G13" s="83">
        <v>5325.0500000000029</v>
      </c>
      <c r="H13" s="83">
        <v>5018.4300000000076</v>
      </c>
      <c r="I13" s="65"/>
    </row>
    <row r="14" spans="1:9" ht="15.75" x14ac:dyDescent="0.25">
      <c r="B14" s="65" t="s">
        <v>83</v>
      </c>
      <c r="C14" s="73">
        <v>-1107.3699999999999</v>
      </c>
      <c r="D14" s="73">
        <v>-540.45000000000005</v>
      </c>
      <c r="E14" s="73">
        <v>-443.25</v>
      </c>
      <c r="F14" s="73">
        <v>-502.25</v>
      </c>
      <c r="G14" s="73">
        <v>-574.98</v>
      </c>
      <c r="H14" s="73">
        <v>-624.44000000000005</v>
      </c>
      <c r="I14" s="72" t="s">
        <v>78</v>
      </c>
    </row>
    <row r="15" spans="1:9" ht="15.75" x14ac:dyDescent="0.25">
      <c r="B15" s="80" t="s">
        <v>48</v>
      </c>
      <c r="C15" s="81">
        <v>2431.7300000000023</v>
      </c>
      <c r="D15" s="81">
        <v>2956.2799999999925</v>
      </c>
      <c r="E15" s="81">
        <v>3954.4500000000044</v>
      </c>
      <c r="F15" s="81">
        <v>4073.7199999999975</v>
      </c>
      <c r="G15" s="81">
        <v>4750.0700000000033</v>
      </c>
      <c r="H15" s="81">
        <v>4393.9900000000071</v>
      </c>
      <c r="I15" s="65"/>
    </row>
    <row r="16" spans="1:9" ht="15.75" x14ac:dyDescent="0.25">
      <c r="B16" s="65" t="s">
        <v>84</v>
      </c>
      <c r="C16" s="73">
        <v>444.19</v>
      </c>
      <c r="D16" s="73">
        <v>347.38</v>
      </c>
      <c r="E16" s="73">
        <v>412.83</v>
      </c>
      <c r="F16" s="73">
        <v>521.95000000000005</v>
      </c>
      <c r="G16" s="73">
        <v>523.16999999999996</v>
      </c>
      <c r="H16" s="73">
        <v>686.73</v>
      </c>
      <c r="I16" s="72" t="s">
        <v>85</v>
      </c>
    </row>
    <row r="17" spans="2:9" ht="15.75" x14ac:dyDescent="0.25">
      <c r="B17" s="65" t="s">
        <v>86</v>
      </c>
      <c r="C17" s="73">
        <v>-11.82</v>
      </c>
      <c r="D17" s="73">
        <v>-11.7</v>
      </c>
      <c r="E17" s="73">
        <v>-14.61</v>
      </c>
      <c r="F17" s="73">
        <v>-27.28</v>
      </c>
      <c r="G17" s="73">
        <v>-30.8</v>
      </c>
      <c r="H17" s="73">
        <v>-37.18</v>
      </c>
      <c r="I17" s="72" t="s">
        <v>85</v>
      </c>
    </row>
    <row r="18" spans="2:9" ht="15.75" x14ac:dyDescent="0.25">
      <c r="B18" s="65" t="s">
        <v>87</v>
      </c>
      <c r="C18" s="73">
        <v>-3.62</v>
      </c>
      <c r="D18" s="73">
        <v>15.15</v>
      </c>
      <c r="E18" s="73">
        <v>34.33</v>
      </c>
      <c r="F18" s="73">
        <v>54.92</v>
      </c>
      <c r="G18" s="73">
        <v>49.66</v>
      </c>
      <c r="H18" s="73">
        <v>60.76</v>
      </c>
      <c r="I18" s="72" t="s">
        <v>85</v>
      </c>
    </row>
    <row r="19" spans="2:9" ht="15.75" x14ac:dyDescent="0.25">
      <c r="B19" s="65" t="s">
        <v>88</v>
      </c>
      <c r="C19" s="73"/>
      <c r="D19" s="73"/>
      <c r="E19" s="73">
        <v>0</v>
      </c>
      <c r="F19" s="73">
        <v>262.08999999999997</v>
      </c>
      <c r="G19" s="73">
        <v>0</v>
      </c>
      <c r="H19" s="73">
        <v>0</v>
      </c>
      <c r="I19" s="72" t="s">
        <v>85</v>
      </c>
    </row>
    <row r="20" spans="2:9" ht="15.75" x14ac:dyDescent="0.25">
      <c r="B20" s="74" t="s">
        <v>89</v>
      </c>
      <c r="C20" s="76">
        <v>0.35</v>
      </c>
      <c r="D20" s="76">
        <v>1.04</v>
      </c>
      <c r="E20" s="76">
        <v>4.1100000000000003</v>
      </c>
      <c r="F20" s="76">
        <v>0</v>
      </c>
      <c r="G20" s="76">
        <v>0</v>
      </c>
      <c r="H20" s="76">
        <v>0</v>
      </c>
      <c r="I20" s="72"/>
    </row>
    <row r="21" spans="2:9" ht="15.75" x14ac:dyDescent="0.25">
      <c r="B21" s="74" t="s">
        <v>90</v>
      </c>
      <c r="C21" s="75">
        <v>2860.8300000000022</v>
      </c>
      <c r="D21" s="75">
        <v>3308.1499999999924</v>
      </c>
      <c r="E21" s="75">
        <v>4391.1100000000042</v>
      </c>
      <c r="F21" s="75">
        <v>4885.3999999999978</v>
      </c>
      <c r="G21" s="75">
        <v>5292.1000000000031</v>
      </c>
      <c r="H21" s="75">
        <v>5104.3000000000075</v>
      </c>
      <c r="I21" s="65"/>
    </row>
    <row r="22" spans="2:9" ht="15.75" x14ac:dyDescent="0.25">
      <c r="B22" s="65" t="s">
        <v>91</v>
      </c>
      <c r="C22" s="73">
        <v>-758.17</v>
      </c>
      <c r="D22" s="73">
        <v>-943.45</v>
      </c>
      <c r="E22" s="73">
        <v>-1274.71</v>
      </c>
      <c r="F22" s="73">
        <v>-1339.1</v>
      </c>
      <c r="G22" s="73">
        <v>-1569.93</v>
      </c>
      <c r="H22" s="73">
        <v>-1637.95</v>
      </c>
      <c r="I22" s="72" t="s">
        <v>78</v>
      </c>
    </row>
    <row r="23" spans="2:9" ht="16.5" thickBot="1" x14ac:dyDescent="0.3">
      <c r="B23" s="77" t="s">
        <v>92</v>
      </c>
      <c r="C23" s="78">
        <v>2102.6600000000021</v>
      </c>
      <c r="D23" s="78">
        <v>2364.6999999999925</v>
      </c>
      <c r="E23" s="78">
        <v>3116.4000000000042</v>
      </c>
      <c r="F23" s="78">
        <v>3546.2999999999979</v>
      </c>
      <c r="G23" s="78">
        <v>3722.1700000000028</v>
      </c>
      <c r="H23" s="78">
        <v>3466.3500000000076</v>
      </c>
      <c r="I23" s="65"/>
    </row>
  </sheetData>
  <mergeCells count="1">
    <mergeCell ref="A1:I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EB4AF-2349-48B3-9A7D-FB0242B96A02}">
  <dimension ref="A1:I56"/>
  <sheetViews>
    <sheetView showGridLines="0" tabSelected="1" workbookViewId="0">
      <selection activeCell="C8" sqref="C8"/>
    </sheetView>
  </sheetViews>
  <sheetFormatPr defaultRowHeight="15" x14ac:dyDescent="0.25"/>
  <cols>
    <col min="1" max="1" width="4.85546875" customWidth="1"/>
    <col min="2" max="2" width="42.5703125" bestFit="1" customWidth="1"/>
    <col min="3" max="5" width="10.42578125" bestFit="1" customWidth="1"/>
    <col min="6" max="8" width="11.28515625" bestFit="1" customWidth="1"/>
    <col min="9" max="9" width="20.5703125" bestFit="1" customWidth="1"/>
  </cols>
  <sheetData>
    <row r="1" spans="1:9" ht="18.75" x14ac:dyDescent="0.4">
      <c r="A1" s="204" t="s">
        <v>142</v>
      </c>
      <c r="B1" s="204"/>
      <c r="C1" s="204"/>
      <c r="D1" s="204"/>
      <c r="E1" s="204"/>
      <c r="F1" s="204"/>
      <c r="G1" s="204"/>
      <c r="H1" s="204"/>
      <c r="I1" s="204"/>
    </row>
    <row r="2" spans="1:9" ht="23.25" x14ac:dyDescent="0.35">
      <c r="B2" s="85" t="s">
        <v>52</v>
      </c>
      <c r="C2" s="85"/>
      <c r="D2" s="85"/>
      <c r="E2" s="85"/>
      <c r="F2" s="84"/>
      <c r="G2" s="84"/>
      <c r="H2" s="84"/>
      <c r="I2" s="84"/>
    </row>
    <row r="3" spans="1:9" ht="15.75" x14ac:dyDescent="0.25">
      <c r="B3" s="86" t="s">
        <v>75</v>
      </c>
      <c r="C3" s="86"/>
      <c r="D3" s="86"/>
      <c r="E3" s="86"/>
      <c r="F3" s="84"/>
      <c r="G3" s="84"/>
      <c r="H3" s="84"/>
      <c r="I3" s="84"/>
    </row>
    <row r="5" spans="1:9" ht="15.75" x14ac:dyDescent="0.25">
      <c r="B5" s="87" t="s">
        <v>76</v>
      </c>
      <c r="C5" s="88">
        <v>41699</v>
      </c>
      <c r="D5" s="88">
        <v>42064</v>
      </c>
      <c r="E5" s="88">
        <v>42430</v>
      </c>
      <c r="F5" s="88">
        <v>42795</v>
      </c>
      <c r="G5" s="88">
        <v>43160</v>
      </c>
      <c r="H5" s="88">
        <v>43525</v>
      </c>
      <c r="I5" s="84"/>
    </row>
    <row r="6" spans="1:9" ht="15.75" x14ac:dyDescent="0.25">
      <c r="B6" s="84" t="s">
        <v>93</v>
      </c>
      <c r="C6" s="84"/>
      <c r="D6" s="84"/>
      <c r="E6" s="84"/>
      <c r="F6" s="84"/>
      <c r="G6" s="84"/>
      <c r="H6" s="84"/>
      <c r="I6" s="84"/>
    </row>
    <row r="7" spans="1:9" ht="15.75" x14ac:dyDescent="0.25">
      <c r="B7" s="86" t="s">
        <v>94</v>
      </c>
      <c r="C7" s="86"/>
      <c r="D7" s="86"/>
      <c r="E7" s="86"/>
      <c r="F7" s="84"/>
      <c r="G7" s="84"/>
      <c r="H7" s="84"/>
      <c r="I7" s="84"/>
    </row>
    <row r="8" spans="1:9" ht="15.75" x14ac:dyDescent="0.25">
      <c r="B8" s="84" t="s">
        <v>95</v>
      </c>
      <c r="C8" s="90">
        <v>1897.37</v>
      </c>
      <c r="D8" s="90">
        <v>2850.86</v>
      </c>
      <c r="E8" s="90">
        <v>3907.02</v>
      </c>
      <c r="F8" s="91">
        <v>4495.03</v>
      </c>
      <c r="G8" s="91">
        <v>4771.3900000000003</v>
      </c>
      <c r="H8" s="91">
        <v>4792.5</v>
      </c>
      <c r="I8" s="89" t="s">
        <v>78</v>
      </c>
    </row>
    <row r="9" spans="1:9" ht="15.75" x14ac:dyDescent="0.25">
      <c r="B9" s="84" t="s">
        <v>96</v>
      </c>
      <c r="C9" s="90">
        <v>854.74</v>
      </c>
      <c r="D9" s="90">
        <v>315.12</v>
      </c>
      <c r="E9" s="90">
        <v>330.78</v>
      </c>
      <c r="F9" s="91">
        <v>386.5</v>
      </c>
      <c r="G9" s="91">
        <v>239.02</v>
      </c>
      <c r="H9" s="91">
        <v>384.85</v>
      </c>
      <c r="I9" s="89" t="s">
        <v>78</v>
      </c>
    </row>
    <row r="10" spans="1:9" ht="15.75" x14ac:dyDescent="0.25">
      <c r="B10" s="84" t="s">
        <v>97</v>
      </c>
      <c r="C10" s="90">
        <v>349.92</v>
      </c>
      <c r="D10" s="90">
        <v>101.42</v>
      </c>
      <c r="E10" s="90">
        <v>129.07</v>
      </c>
      <c r="F10" s="91">
        <v>103.82</v>
      </c>
      <c r="G10" s="91">
        <v>189.57</v>
      </c>
      <c r="H10" s="91">
        <v>159.86000000000001</v>
      </c>
      <c r="I10" s="89" t="s">
        <v>78</v>
      </c>
    </row>
    <row r="11" spans="1:9" ht="15.75" x14ac:dyDescent="0.25">
      <c r="B11" s="84" t="s">
        <v>98</v>
      </c>
      <c r="C11" s="90">
        <v>0</v>
      </c>
      <c r="D11" s="90">
        <v>404.08</v>
      </c>
      <c r="E11" s="90">
        <v>322.58999999999997</v>
      </c>
      <c r="F11" s="91">
        <v>194.46</v>
      </c>
      <c r="G11" s="91">
        <v>116.46</v>
      </c>
      <c r="H11" s="91">
        <v>187.97</v>
      </c>
      <c r="I11" s="89" t="s">
        <v>78</v>
      </c>
    </row>
    <row r="12" spans="1:9" ht="15.75" x14ac:dyDescent="0.25">
      <c r="B12" s="84" t="s">
        <v>99</v>
      </c>
      <c r="C12" s="90">
        <v>0</v>
      </c>
      <c r="D12" s="90">
        <v>708.46</v>
      </c>
      <c r="E12" s="90">
        <v>950.06999999999994</v>
      </c>
      <c r="F12" s="91">
        <v>1025.3699999999999</v>
      </c>
      <c r="G12" s="91">
        <v>1159.6300000000001</v>
      </c>
      <c r="H12" s="91">
        <v>1705.89</v>
      </c>
      <c r="I12" s="89" t="s">
        <v>85</v>
      </c>
    </row>
    <row r="13" spans="1:9" ht="15.75" x14ac:dyDescent="0.25">
      <c r="B13" s="84" t="s">
        <v>100</v>
      </c>
      <c r="C13" s="90">
        <v>877.8599999999999</v>
      </c>
      <c r="D13" s="90">
        <v>821.15</v>
      </c>
      <c r="E13" s="90">
        <v>945.26</v>
      </c>
      <c r="F13" s="91">
        <v>496.94</v>
      </c>
      <c r="G13" s="91">
        <v>918.49</v>
      </c>
      <c r="H13" s="91">
        <v>1234.06</v>
      </c>
      <c r="I13" s="89" t="s">
        <v>85</v>
      </c>
    </row>
    <row r="14" spans="1:9" ht="15.75" x14ac:dyDescent="0.25">
      <c r="B14" s="84" t="s">
        <v>101</v>
      </c>
      <c r="C14" s="90">
        <v>477.43</v>
      </c>
      <c r="D14" s="90">
        <v>0</v>
      </c>
      <c r="E14" s="90">
        <v>0</v>
      </c>
      <c r="F14" s="91">
        <v>23.13</v>
      </c>
      <c r="G14" s="91">
        <v>22.3</v>
      </c>
      <c r="H14" s="91">
        <v>60.12</v>
      </c>
      <c r="I14" s="89" t="s">
        <v>85</v>
      </c>
    </row>
    <row r="15" spans="1:9" ht="15.75" x14ac:dyDescent="0.25">
      <c r="B15" s="84" t="s">
        <v>102</v>
      </c>
      <c r="C15" s="90">
        <v>0</v>
      </c>
      <c r="D15" s="90">
        <v>0</v>
      </c>
      <c r="E15" s="90">
        <v>0</v>
      </c>
      <c r="F15" s="91">
        <v>25.39</v>
      </c>
      <c r="G15" s="91">
        <v>23.55</v>
      </c>
      <c r="H15" s="91">
        <v>33.82</v>
      </c>
      <c r="I15" s="89" t="s">
        <v>78</v>
      </c>
    </row>
    <row r="16" spans="1:9" ht="15.75" x14ac:dyDescent="0.25">
      <c r="B16" s="84" t="s">
        <v>103</v>
      </c>
      <c r="C16" s="90">
        <v>105.98</v>
      </c>
      <c r="D16" s="90">
        <v>73.540000000000006</v>
      </c>
      <c r="E16" s="90">
        <v>0</v>
      </c>
      <c r="F16" s="91">
        <v>0</v>
      </c>
      <c r="G16" s="91">
        <v>0</v>
      </c>
      <c r="H16" s="91">
        <v>0</v>
      </c>
      <c r="I16" s="89" t="s">
        <v>85</v>
      </c>
    </row>
    <row r="17" spans="2:9" ht="15.75" x14ac:dyDescent="0.25">
      <c r="B17" s="84" t="s">
        <v>104</v>
      </c>
      <c r="C17" s="90">
        <v>0</v>
      </c>
      <c r="D17" s="90">
        <v>0</v>
      </c>
      <c r="E17" s="90">
        <v>0</v>
      </c>
      <c r="F17" s="91">
        <v>332.5</v>
      </c>
      <c r="G17" s="91">
        <v>394.51</v>
      </c>
      <c r="H17" s="91">
        <v>855.62</v>
      </c>
      <c r="I17" s="89" t="s">
        <v>78</v>
      </c>
    </row>
    <row r="18" spans="2:9" ht="15.75" x14ac:dyDescent="0.25">
      <c r="B18" s="84" t="s">
        <v>105</v>
      </c>
      <c r="C18" s="90">
        <v>0</v>
      </c>
      <c r="D18" s="90">
        <v>0</v>
      </c>
      <c r="E18" s="90">
        <v>0</v>
      </c>
      <c r="F18" s="91">
        <v>658.35</v>
      </c>
      <c r="G18" s="91">
        <v>559.58000000000004</v>
      </c>
      <c r="H18" s="91">
        <v>676.46</v>
      </c>
      <c r="I18" s="89" t="s">
        <v>78</v>
      </c>
    </row>
    <row r="19" spans="2:9" ht="15.75" x14ac:dyDescent="0.25">
      <c r="B19" s="92" t="s">
        <v>106</v>
      </c>
      <c r="C19" s="93">
        <v>4563.2999999999993</v>
      </c>
      <c r="D19" s="93">
        <v>5274.63</v>
      </c>
      <c r="E19" s="93">
        <v>6584.79</v>
      </c>
      <c r="F19" s="93">
        <v>7741.49</v>
      </c>
      <c r="G19" s="93">
        <v>8394.5000000000018</v>
      </c>
      <c r="H19" s="93">
        <v>10091.150000000001</v>
      </c>
      <c r="I19" s="84"/>
    </row>
    <row r="20" spans="2:9" ht="15.75" x14ac:dyDescent="0.25">
      <c r="B20" s="94"/>
      <c r="C20" s="95"/>
      <c r="D20" s="95"/>
      <c r="E20" s="95"/>
      <c r="F20" s="94"/>
      <c r="G20" s="94"/>
      <c r="H20" s="94"/>
      <c r="I20" s="84"/>
    </row>
    <row r="21" spans="2:9" ht="15.75" x14ac:dyDescent="0.25">
      <c r="B21" s="86" t="s">
        <v>107</v>
      </c>
      <c r="C21" s="96"/>
      <c r="D21" s="96"/>
      <c r="E21" s="96"/>
      <c r="F21" s="84"/>
      <c r="G21" s="84"/>
      <c r="H21" s="84"/>
      <c r="I21" s="84"/>
    </row>
    <row r="22" spans="2:9" ht="15.75" x14ac:dyDescent="0.25">
      <c r="B22" s="84" t="s">
        <v>108</v>
      </c>
      <c r="C22" s="90">
        <v>669.55</v>
      </c>
      <c r="D22" s="90">
        <v>861.39</v>
      </c>
      <c r="E22" s="90">
        <v>761.99</v>
      </c>
      <c r="F22" s="91">
        <v>708.58</v>
      </c>
      <c r="G22" s="91">
        <v>962.68</v>
      </c>
      <c r="H22" s="91">
        <v>1249.53</v>
      </c>
      <c r="I22" s="89" t="s">
        <v>78</v>
      </c>
    </row>
    <row r="23" spans="2:9" ht="15.75" x14ac:dyDescent="0.25">
      <c r="B23" s="84" t="s">
        <v>100</v>
      </c>
      <c r="C23" s="90">
        <v>3275.89</v>
      </c>
      <c r="D23" s="90">
        <v>2297.35</v>
      </c>
      <c r="E23" s="90">
        <v>3249.15</v>
      </c>
      <c r="F23" s="91">
        <v>4544.0600000000004</v>
      </c>
      <c r="G23" s="91">
        <v>5591.12</v>
      </c>
      <c r="H23" s="91">
        <v>3173.88</v>
      </c>
      <c r="I23" s="89" t="s">
        <v>109</v>
      </c>
    </row>
    <row r="24" spans="2:9" ht="15.75" x14ac:dyDescent="0.25">
      <c r="B24" s="84" t="s">
        <v>110</v>
      </c>
      <c r="C24" s="90">
        <v>920.58</v>
      </c>
      <c r="D24" s="90">
        <v>1371.82</v>
      </c>
      <c r="E24" s="90">
        <v>1282.08</v>
      </c>
      <c r="F24" s="91">
        <v>1551.75</v>
      </c>
      <c r="G24" s="91">
        <v>1426.97</v>
      </c>
      <c r="H24" s="91">
        <v>2745.11</v>
      </c>
      <c r="I24" s="89" t="s">
        <v>78</v>
      </c>
    </row>
    <row r="25" spans="2:9" ht="15.75" x14ac:dyDescent="0.25">
      <c r="B25" s="84" t="s">
        <v>111</v>
      </c>
      <c r="C25" s="90">
        <v>119.83</v>
      </c>
      <c r="D25" s="90">
        <v>215.78</v>
      </c>
      <c r="E25" s="90">
        <v>179.09</v>
      </c>
      <c r="F25" s="91">
        <v>74.06</v>
      </c>
      <c r="G25" s="91">
        <v>130.61000000000001</v>
      </c>
      <c r="H25" s="91">
        <v>208.12</v>
      </c>
      <c r="I25" s="89" t="s">
        <v>78</v>
      </c>
    </row>
    <row r="26" spans="2:9" ht="15.75" x14ac:dyDescent="0.25">
      <c r="B26" s="84" t="s">
        <v>112</v>
      </c>
      <c r="C26" s="90">
        <v>0</v>
      </c>
      <c r="D26" s="90">
        <v>0</v>
      </c>
      <c r="E26" s="90">
        <v>0</v>
      </c>
      <c r="F26" s="91">
        <v>121.33</v>
      </c>
      <c r="G26" s="91">
        <v>106.96</v>
      </c>
      <c r="H26" s="91">
        <v>95.78</v>
      </c>
      <c r="I26" s="89" t="s">
        <v>78</v>
      </c>
    </row>
    <row r="27" spans="2:9" ht="15.75" x14ac:dyDescent="0.25">
      <c r="B27" s="84" t="s">
        <v>101</v>
      </c>
      <c r="C27" s="90">
        <v>18.420000000000002</v>
      </c>
      <c r="D27" s="90">
        <v>23.86</v>
      </c>
      <c r="E27" s="90">
        <v>23.21</v>
      </c>
      <c r="F27" s="91">
        <v>21.73</v>
      </c>
      <c r="G27" s="91">
        <v>21.41</v>
      </c>
      <c r="H27" s="91">
        <v>23.22</v>
      </c>
      <c r="I27" s="89" t="s">
        <v>109</v>
      </c>
    </row>
    <row r="28" spans="2:9" ht="15.75" x14ac:dyDescent="0.25">
      <c r="B28" s="84" t="s">
        <v>102</v>
      </c>
      <c r="C28" s="90">
        <v>1.07</v>
      </c>
      <c r="D28" s="90">
        <v>0</v>
      </c>
      <c r="E28" s="90">
        <v>0</v>
      </c>
      <c r="F28" s="91">
        <v>3.2</v>
      </c>
      <c r="G28" s="91">
        <v>7.09</v>
      </c>
      <c r="H28" s="91">
        <v>1.86</v>
      </c>
      <c r="I28" s="89" t="s">
        <v>78</v>
      </c>
    </row>
    <row r="29" spans="2:9" ht="15.75" x14ac:dyDescent="0.25">
      <c r="B29" s="84" t="s">
        <v>113</v>
      </c>
      <c r="C29" s="90">
        <v>22.05</v>
      </c>
      <c r="D29" s="90">
        <v>59.97</v>
      </c>
      <c r="E29" s="90">
        <v>79.48</v>
      </c>
      <c r="F29" s="91">
        <v>145.02000000000001</v>
      </c>
      <c r="G29" s="91">
        <v>543.28</v>
      </c>
      <c r="H29" s="91">
        <v>654.19000000000005</v>
      </c>
      <c r="I29" s="89" t="s">
        <v>78</v>
      </c>
    </row>
    <row r="30" spans="2:9" ht="15.75" x14ac:dyDescent="0.25">
      <c r="B30" s="84" t="s">
        <v>114</v>
      </c>
      <c r="C30" s="90">
        <v>530.89</v>
      </c>
      <c r="D30" s="90">
        <v>549.54999999999995</v>
      </c>
      <c r="E30" s="90">
        <v>511.91</v>
      </c>
      <c r="F30" s="91">
        <v>400.78</v>
      </c>
      <c r="G30" s="91">
        <v>212.11</v>
      </c>
      <c r="H30" s="91">
        <v>261.52</v>
      </c>
      <c r="I30" s="89" t="s">
        <v>78</v>
      </c>
    </row>
    <row r="31" spans="2:9" ht="15.75" x14ac:dyDescent="0.25">
      <c r="B31" s="92" t="s">
        <v>115</v>
      </c>
      <c r="C31" s="93">
        <v>5558.28</v>
      </c>
      <c r="D31" s="93">
        <v>5379.7199999999993</v>
      </c>
      <c r="E31" s="93">
        <v>6086.91</v>
      </c>
      <c r="F31" s="93">
        <v>7570.51</v>
      </c>
      <c r="G31" s="93">
        <v>9002.2300000000014</v>
      </c>
      <c r="H31" s="93">
        <v>8413.2100000000009</v>
      </c>
      <c r="I31" s="84"/>
    </row>
    <row r="32" spans="2:9" ht="16.5" thickBot="1" x14ac:dyDescent="0.3">
      <c r="B32" s="97" t="s">
        <v>116</v>
      </c>
      <c r="C32" s="98">
        <v>10121.579999999998</v>
      </c>
      <c r="D32" s="98">
        <v>10654.349999999999</v>
      </c>
      <c r="E32" s="98">
        <v>12671.7</v>
      </c>
      <c r="F32" s="98">
        <v>15312</v>
      </c>
      <c r="G32" s="98">
        <v>17396.730000000003</v>
      </c>
      <c r="H32" s="98">
        <v>18504.36</v>
      </c>
      <c r="I32" s="84"/>
    </row>
    <row r="33" spans="2:9" ht="15.75" x14ac:dyDescent="0.25">
      <c r="B33" s="84"/>
      <c r="C33" s="90"/>
      <c r="D33" s="90"/>
      <c r="E33" s="90"/>
      <c r="F33" s="84"/>
      <c r="G33" s="84"/>
      <c r="H33" s="84"/>
      <c r="I33" s="84"/>
    </row>
    <row r="34" spans="2:9" ht="15.75" x14ac:dyDescent="0.25">
      <c r="B34" s="87" t="s">
        <v>76</v>
      </c>
      <c r="C34" s="88">
        <v>41699</v>
      </c>
      <c r="D34" s="88">
        <v>42064</v>
      </c>
      <c r="E34" s="88">
        <v>42430</v>
      </c>
      <c r="F34" s="88">
        <v>42795</v>
      </c>
      <c r="G34" s="88">
        <v>43160</v>
      </c>
      <c r="H34" s="88">
        <v>43525</v>
      </c>
      <c r="I34" s="84"/>
    </row>
    <row r="35" spans="2:9" ht="15.75" x14ac:dyDescent="0.25">
      <c r="B35" s="84" t="s">
        <v>117</v>
      </c>
      <c r="C35" s="90"/>
      <c r="D35" s="90"/>
      <c r="E35" s="90"/>
      <c r="F35" s="84"/>
      <c r="G35" s="84"/>
      <c r="H35" s="84"/>
      <c r="I35" s="84"/>
    </row>
    <row r="36" spans="2:9" ht="15.75" x14ac:dyDescent="0.25">
      <c r="B36" s="86" t="s">
        <v>118</v>
      </c>
      <c r="C36" s="96"/>
      <c r="D36" s="96"/>
      <c r="E36" s="96"/>
      <c r="F36" s="84"/>
      <c r="G36" s="84"/>
      <c r="H36" s="84"/>
      <c r="I36" s="84"/>
    </row>
    <row r="37" spans="2:9" ht="15.75" x14ac:dyDescent="0.25">
      <c r="B37" s="84" t="s">
        <v>119</v>
      </c>
      <c r="C37" s="91">
        <v>39.94</v>
      </c>
      <c r="D37" s="91">
        <v>39.94</v>
      </c>
      <c r="E37" s="91">
        <v>39.94</v>
      </c>
      <c r="F37" s="91">
        <v>39.94</v>
      </c>
      <c r="G37" s="91">
        <v>39.94</v>
      </c>
      <c r="H37" s="91">
        <v>39.950000000000003</v>
      </c>
      <c r="I37" s="89" t="s">
        <v>109</v>
      </c>
    </row>
    <row r="38" spans="2:9" ht="15.75" x14ac:dyDescent="0.25">
      <c r="B38" s="84" t="s">
        <v>120</v>
      </c>
      <c r="C38" s="91">
        <v>5582.7</v>
      </c>
      <c r="D38" s="91">
        <v>6500.06</v>
      </c>
      <c r="E38" s="91">
        <v>7912.74</v>
      </c>
      <c r="F38" s="91">
        <v>10275.57</v>
      </c>
      <c r="G38" s="91">
        <v>11931.52</v>
      </c>
      <c r="H38" s="91">
        <v>13080.46</v>
      </c>
      <c r="I38" s="89" t="s">
        <v>109</v>
      </c>
    </row>
    <row r="39" spans="2:9" ht="15.75" x14ac:dyDescent="0.25">
      <c r="B39" s="84" t="s">
        <v>121</v>
      </c>
      <c r="C39" s="91">
        <v>0.85</v>
      </c>
      <c r="D39" s="91">
        <v>18.54</v>
      </c>
      <c r="E39" s="91">
        <v>53.62</v>
      </c>
      <c r="F39" s="91">
        <v>67.38</v>
      </c>
      <c r="G39" s="91">
        <v>93.21</v>
      </c>
      <c r="H39" s="91">
        <v>116.11</v>
      </c>
      <c r="I39" s="89" t="s">
        <v>109</v>
      </c>
    </row>
    <row r="40" spans="2:9" ht="15.75" x14ac:dyDescent="0.25">
      <c r="B40" s="84" t="s">
        <v>122</v>
      </c>
      <c r="C40" s="91">
        <v>0</v>
      </c>
      <c r="D40" s="91">
        <v>12</v>
      </c>
      <c r="E40" s="91">
        <v>145.97999999999999</v>
      </c>
      <c r="F40" s="91">
        <v>207.9</v>
      </c>
      <c r="G40" s="91">
        <v>149.63</v>
      </c>
      <c r="H40" s="91">
        <v>124.84</v>
      </c>
      <c r="I40" s="89" t="s">
        <v>109</v>
      </c>
    </row>
    <row r="41" spans="2:9" ht="15.75" x14ac:dyDescent="0.25">
      <c r="B41" s="84" t="s">
        <v>123</v>
      </c>
      <c r="C41" s="91">
        <v>8.66</v>
      </c>
      <c r="D41" s="91">
        <v>10.19</v>
      </c>
      <c r="E41" s="91">
        <v>15.65</v>
      </c>
      <c r="F41" s="91">
        <v>16.170000000000002</v>
      </c>
      <c r="G41" s="91">
        <v>25.94</v>
      </c>
      <c r="H41" s="91">
        <v>28.41</v>
      </c>
      <c r="I41" s="89" t="s">
        <v>109</v>
      </c>
    </row>
    <row r="42" spans="2:9" ht="15.75" x14ac:dyDescent="0.25">
      <c r="B42" s="84" t="s">
        <v>124</v>
      </c>
      <c r="C42" s="91">
        <v>24.45</v>
      </c>
      <c r="D42" s="91">
        <v>31.33</v>
      </c>
      <c r="E42" s="91">
        <v>34.89</v>
      </c>
      <c r="F42" s="91">
        <v>0</v>
      </c>
      <c r="G42" s="91">
        <v>0</v>
      </c>
      <c r="H42" s="91">
        <v>0</v>
      </c>
      <c r="I42" s="89" t="s">
        <v>78</v>
      </c>
    </row>
    <row r="43" spans="2:9" ht="15.75" x14ac:dyDescent="0.25">
      <c r="B43" s="84" t="s">
        <v>125</v>
      </c>
      <c r="C43" s="91">
        <v>41.36</v>
      </c>
      <c r="D43" s="91">
        <v>56.06</v>
      </c>
      <c r="E43" s="91">
        <v>68.989999999999995</v>
      </c>
      <c r="F43" s="91">
        <v>59.45</v>
      </c>
      <c r="G43" s="91">
        <v>93.24</v>
      </c>
      <c r="H43" s="91">
        <v>92.53</v>
      </c>
      <c r="I43" s="89" t="s">
        <v>78</v>
      </c>
    </row>
    <row r="44" spans="2:9" ht="15.75" x14ac:dyDescent="0.25">
      <c r="B44" s="84" t="s">
        <v>126</v>
      </c>
      <c r="C44" s="91">
        <v>0</v>
      </c>
      <c r="D44" s="91">
        <v>0</v>
      </c>
      <c r="E44" s="91">
        <v>227.79</v>
      </c>
      <c r="F44" s="91">
        <v>468.9</v>
      </c>
      <c r="G44" s="91">
        <v>581.89</v>
      </c>
      <c r="H44" s="91">
        <v>612.88</v>
      </c>
      <c r="I44" s="89" t="s">
        <v>109</v>
      </c>
    </row>
    <row r="45" spans="2:9" ht="15.75" x14ac:dyDescent="0.25">
      <c r="B45" s="92" t="s">
        <v>127</v>
      </c>
      <c r="C45" s="93">
        <v>5697.9599999999991</v>
      </c>
      <c r="D45" s="93">
        <v>6668.12</v>
      </c>
      <c r="E45" s="93">
        <v>8499.5999999999985</v>
      </c>
      <c r="F45" s="93">
        <v>11135.31</v>
      </c>
      <c r="G45" s="93">
        <v>12915.369999999999</v>
      </c>
      <c r="H45" s="93">
        <v>14095.18</v>
      </c>
      <c r="I45" s="84"/>
    </row>
    <row r="46" spans="2:9" ht="15.75" x14ac:dyDescent="0.25">
      <c r="B46" s="94"/>
      <c r="C46" s="99"/>
      <c r="D46" s="99"/>
      <c r="E46" s="99"/>
      <c r="F46" s="100"/>
      <c r="G46" s="100"/>
      <c r="H46" s="100"/>
      <c r="I46" s="84"/>
    </row>
    <row r="47" spans="2:9" ht="15.75" x14ac:dyDescent="0.25">
      <c r="B47" s="86" t="s">
        <v>128</v>
      </c>
      <c r="C47" s="101"/>
      <c r="D47" s="101"/>
      <c r="E47" s="101"/>
      <c r="F47" s="102"/>
      <c r="G47" s="102"/>
      <c r="H47" s="102"/>
      <c r="I47" s="84"/>
    </row>
    <row r="48" spans="2:9" ht="15.75" x14ac:dyDescent="0.25">
      <c r="B48" s="84" t="s">
        <v>129</v>
      </c>
      <c r="C48" s="91">
        <v>0</v>
      </c>
      <c r="D48" s="91">
        <v>88</v>
      </c>
      <c r="E48" s="91">
        <v>84.06</v>
      </c>
      <c r="F48" s="91">
        <v>40.08</v>
      </c>
      <c r="G48" s="91">
        <v>75.37</v>
      </c>
      <c r="H48" s="91">
        <v>183.68</v>
      </c>
      <c r="I48" s="89" t="s">
        <v>109</v>
      </c>
    </row>
    <row r="49" spans="2:9" ht="15.75" x14ac:dyDescent="0.25">
      <c r="B49" s="84" t="s">
        <v>130</v>
      </c>
      <c r="C49" s="91">
        <v>2291.0100000000002</v>
      </c>
      <c r="D49" s="91">
        <v>2713.09</v>
      </c>
      <c r="E49" s="91">
        <v>2791.7</v>
      </c>
      <c r="F49" s="91">
        <v>3266.2</v>
      </c>
      <c r="G49" s="91">
        <v>3375.26</v>
      </c>
      <c r="H49" s="91">
        <v>3438.24</v>
      </c>
      <c r="I49" s="89" t="s">
        <v>78</v>
      </c>
    </row>
    <row r="50" spans="2:9" ht="15.75" x14ac:dyDescent="0.25">
      <c r="B50" s="84" t="s">
        <v>131</v>
      </c>
      <c r="C50" s="91">
        <v>540.40000000000009</v>
      </c>
      <c r="D50" s="91">
        <v>399.1</v>
      </c>
      <c r="E50" s="91">
        <v>442.84999999999997</v>
      </c>
      <c r="F50" s="91">
        <v>308.74</v>
      </c>
      <c r="G50" s="91">
        <v>147.80000000000001</v>
      </c>
      <c r="H50" s="91">
        <v>166.98</v>
      </c>
      <c r="I50" s="89" t="s">
        <v>109</v>
      </c>
    </row>
    <row r="51" spans="2:9" ht="15.75" x14ac:dyDescent="0.25">
      <c r="B51" s="84" t="s">
        <v>132</v>
      </c>
      <c r="C51" s="91">
        <v>47.79</v>
      </c>
      <c r="D51" s="91">
        <v>51.64</v>
      </c>
      <c r="E51" s="91">
        <v>54.6</v>
      </c>
      <c r="F51" s="91">
        <v>62.47</v>
      </c>
      <c r="G51" s="91">
        <v>57.69</v>
      </c>
      <c r="H51" s="91">
        <v>59.75</v>
      </c>
      <c r="I51" s="89" t="s">
        <v>78</v>
      </c>
    </row>
    <row r="52" spans="2:9" ht="15.75" x14ac:dyDescent="0.25">
      <c r="B52" s="84" t="s">
        <v>133</v>
      </c>
      <c r="C52" s="91">
        <v>1534.23</v>
      </c>
      <c r="D52" s="91">
        <v>721.21</v>
      </c>
      <c r="E52" s="91">
        <v>769.09</v>
      </c>
      <c r="F52" s="91">
        <v>456.63</v>
      </c>
      <c r="G52" s="91">
        <v>764.95</v>
      </c>
      <c r="H52" s="91">
        <v>500.82</v>
      </c>
      <c r="I52" s="89" t="s">
        <v>78</v>
      </c>
    </row>
    <row r="53" spans="2:9" ht="15.75" x14ac:dyDescent="0.25">
      <c r="B53" s="84" t="s">
        <v>123</v>
      </c>
      <c r="C53" s="91">
        <v>2.94</v>
      </c>
      <c r="D53" s="91">
        <v>2.93</v>
      </c>
      <c r="E53" s="91">
        <v>3.69</v>
      </c>
      <c r="F53" s="91">
        <v>5.12</v>
      </c>
      <c r="G53" s="91">
        <v>5.37</v>
      </c>
      <c r="H53" s="91">
        <v>5.84</v>
      </c>
      <c r="I53" s="89" t="s">
        <v>109</v>
      </c>
    </row>
    <row r="54" spans="2:9" ht="15.75" x14ac:dyDescent="0.25">
      <c r="B54" s="84" t="s">
        <v>125</v>
      </c>
      <c r="C54" s="91">
        <v>7.25</v>
      </c>
      <c r="D54" s="91">
        <v>10.26</v>
      </c>
      <c r="E54" s="91">
        <v>26.11</v>
      </c>
      <c r="F54" s="91">
        <v>37.450000000000003</v>
      </c>
      <c r="G54" s="91">
        <v>54.92</v>
      </c>
      <c r="H54" s="91">
        <v>53.87</v>
      </c>
      <c r="I54" s="89" t="s">
        <v>78</v>
      </c>
    </row>
    <row r="55" spans="2:9" ht="15.75" x14ac:dyDescent="0.25">
      <c r="B55" s="92" t="s">
        <v>134</v>
      </c>
      <c r="C55" s="93">
        <v>4423.62</v>
      </c>
      <c r="D55" s="93">
        <v>3986.23</v>
      </c>
      <c r="E55" s="93">
        <v>4172.0999999999985</v>
      </c>
      <c r="F55" s="93">
        <v>4176.6899999999987</v>
      </c>
      <c r="G55" s="93">
        <v>4481.3600000000006</v>
      </c>
      <c r="H55" s="93">
        <v>4409.1799999999994</v>
      </c>
      <c r="I55" s="84"/>
    </row>
    <row r="56" spans="2:9" ht="16.5" thickBot="1" x14ac:dyDescent="0.3">
      <c r="B56" s="97" t="s">
        <v>135</v>
      </c>
      <c r="C56" s="98">
        <v>10121.579999999998</v>
      </c>
      <c r="D56" s="98">
        <v>10654.35</v>
      </c>
      <c r="E56" s="98">
        <v>12671.699999999997</v>
      </c>
      <c r="F56" s="98">
        <v>15311.999999999998</v>
      </c>
      <c r="G56" s="98">
        <v>17396.73</v>
      </c>
      <c r="H56" s="98">
        <v>18504.36</v>
      </c>
      <c r="I56" s="84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1.INPUT </vt:lpstr>
      <vt:lpstr>P&amp;L ASSUMPTION </vt:lpstr>
      <vt:lpstr>BALANCE SHEET ASSUMPTION</vt:lpstr>
      <vt:lpstr>2.OUTPUT</vt:lpstr>
      <vt:lpstr>P&amp;L</vt:lpstr>
      <vt:lpstr>BALANCE SHEET</vt:lpstr>
      <vt:lpstr>DCF VALUTATION</vt:lpstr>
      <vt:lpstr>PE RATIO</vt:lpstr>
      <vt:lpstr>CASH FLOW  </vt:lpstr>
      <vt:lpstr>WACC </vt:lpstr>
      <vt:lpstr>3.SOURCE</vt:lpstr>
      <vt:lpstr>INCOME STATEMENT</vt:lpstr>
      <vt:lpstr>BALANCE 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my pc</cp:lastModifiedBy>
  <dcterms:created xsi:type="dcterms:W3CDTF">2026-01-01T05:37:25Z</dcterms:created>
  <dcterms:modified xsi:type="dcterms:W3CDTF">2026-01-03T16:10:45Z</dcterms:modified>
</cp:coreProperties>
</file>